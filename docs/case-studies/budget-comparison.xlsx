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al Viable System" sheetId="1" state="visible" r:id="rId1"/>
    <sheet xmlns:r="http://schemas.openxmlformats.org/officeDocument/2006/relationships" name="Standard Budget System" sheetId="2" state="visible" r:id="rId2"/>
    <sheet xmlns:r="http://schemas.openxmlformats.org/officeDocument/2006/relationships" name="Premium Research System" sheetId="3" state="visible" r:id="rId3"/>
    <sheet xmlns:r="http://schemas.openxmlformats.org/officeDocument/2006/relationships" name="Supplier Comparison" sheetId="4" state="visible" r:id="rId4"/>
    <sheet xmlns:r="http://schemas.openxmlformats.org/officeDocument/2006/relationships" name="Monsoon Deployment Case Study" sheetId="5" state="visible" r:id="rId5"/>
    <sheet xmlns:r="http://schemas.openxmlformats.org/officeDocument/2006/relationships" name="Cos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10"/>
    </font>
    <font>
      <name val="Calibri"/>
      <b val="1"/>
      <color rgb="00FFFFFF"/>
      <sz val="11"/>
    </font>
    <font>
      <b val="1"/>
    </font>
    <font>
      <name val="Calibri"/>
      <b val="1"/>
      <sz val="11"/>
    </font>
    <font>
      <i val="1"/>
      <sz val="9"/>
    </font>
    <font>
      <b val="1"/>
      <color rgb="00FFFFFF"/>
      <sz val="12"/>
    </font>
    <font>
      <i val="1"/>
      <color rgb="00666666"/>
      <sz val="9"/>
    </font>
    <font>
      <b val="1"/>
      <color rgb="0000B050"/>
    </font>
    <font>
      <b val="1"/>
      <sz val="10"/>
    </font>
    <font>
      <sz val="9"/>
    </font>
    <font>
      <b val="1"/>
      <sz val="9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4" fontId="7" fillId="6" borderId="0" pivotButton="0" quotePrefix="0" xfId="0"/>
    <xf numFmtId="3" fontId="7" fillId="6" borderId="0" pivotButton="0" quotePrefix="0" xfId="0"/>
    <xf numFmtId="0" fontId="8" fillId="0" borderId="0" pivotButton="0" quotePrefix="0" xfId="0"/>
    <xf numFmtId="0" fontId="0" fillId="0" borderId="1" applyAlignment="1" pivotButton="0" quotePrefix="0" xfId="0">
      <alignment horizontal="left" wrapText="1"/>
    </xf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7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10" fillId="8" borderId="1" pivotButton="0" quotePrefix="0" xfId="0"/>
    <xf numFmtId="0" fontId="13" fillId="9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3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2" customWidth="1" min="4" max="4"/>
    <col width="14" customWidth="1" min="5" max="5"/>
    <col width="10" customWidth="1" min="6" max="6"/>
    <col width="14" customWidth="1" min="7" max="7"/>
    <col width="14" customWidth="1" min="8" max="8"/>
    <col width="24" customWidth="1" min="9" max="9"/>
  </cols>
  <sheetData>
    <row r="1" ht="25" customHeight="1">
      <c r="A1" s="1" t="inlineStr">
        <is>
          <t>500W Helical VAWT - MINIMAL VIABLE SYSTEM (MPPT-Only)</t>
        </is>
      </c>
    </row>
    <row r="2" ht="20" customHeight="1">
      <c r="A2" s="2" t="inlineStr">
        <is>
          <t>Budget Target: LKR 150,000 (~$450 USD) | For student projects with constrained budgets</t>
        </is>
      </c>
    </row>
    <row r="4" ht="35" customHeight="1">
      <c r="A4" s="3" t="inlineStr">
        <is>
          <t>Item #</t>
        </is>
      </c>
      <c r="B4" s="3" t="inlineStr">
        <is>
          <t>Component</t>
        </is>
      </c>
      <c r="C4" s="3" t="inlineStr">
        <is>
          <t>Function for MPPT</t>
        </is>
      </c>
      <c r="D4" s="3" t="inlineStr">
        <is>
          <t>Specification</t>
        </is>
      </c>
      <c r="E4" s="3" t="inlineStr">
        <is>
          <t>Unit Cost (USD)</t>
        </is>
      </c>
      <c r="F4" s="3" t="inlineStr">
        <is>
          <t>Quantity</t>
        </is>
      </c>
      <c r="G4" s="3" t="inlineStr">
        <is>
          <t>Total (USD)</t>
        </is>
      </c>
      <c r="H4" s="3" t="inlineStr">
        <is>
          <t>LKR @ 350×</t>
        </is>
      </c>
      <c r="I4" s="3" t="inlineStr">
        <is>
          <t>Supplier (Sri Lanka)</t>
        </is>
      </c>
    </row>
    <row r="5">
      <c r="A5" s="4" t="inlineStr">
        <is>
          <t>1</t>
        </is>
      </c>
      <c r="B5" s="5" t="inlineStr">
        <is>
          <t>Hall Effect RPM Sensor (A3144)</t>
        </is>
      </c>
      <c r="C5" s="5" t="inlineStr">
        <is>
          <t>Rotor speed feedback (λ calculation)</t>
        </is>
      </c>
      <c r="D5" s="5" t="inlineStr">
        <is>
          <t>Digital output, 5V TTL, 100 kHz</t>
        </is>
      </c>
      <c r="E5" s="6" t="n">
        <v>4</v>
      </c>
      <c r="F5" s="4" t="n">
        <v>1</v>
      </c>
      <c r="G5" s="7" t="n">
        <v>4</v>
      </c>
      <c r="H5" s="8" t="n">
        <v>1400</v>
      </c>
      <c r="I5" s="5" t="inlineStr">
        <is>
          <t>AliExpress bulk (100 pcs)</t>
        </is>
      </c>
    </row>
    <row r="6">
      <c r="A6" s="4" t="inlineStr">
        <is>
          <t>2</t>
        </is>
      </c>
      <c r="B6" s="5" t="inlineStr">
        <is>
          <t>INA226 Current/Voltage Sensor</t>
        </is>
      </c>
      <c r="C6" s="5" t="inlineStr">
        <is>
          <t>DC bus V, I measurement (power calc)</t>
        </is>
      </c>
      <c r="D6" s="5" t="inlineStr">
        <is>
          <t>I2C, 16-bit, 50A max, 0.01Ω shunt</t>
        </is>
      </c>
      <c r="E6" s="6" t="n">
        <v>10</v>
      </c>
      <c r="F6" s="4" t="n">
        <v>1</v>
      </c>
      <c r="G6" s="7" t="n">
        <v>10</v>
      </c>
      <c r="H6" s="8" t="n">
        <v>3500</v>
      </c>
      <c r="I6" s="5" t="inlineStr">
        <is>
          <t>Amazon.in, Daraz.lk</t>
        </is>
      </c>
    </row>
    <row r="7">
      <c r="A7" s="4" t="inlineStr">
        <is>
          <t>3</t>
        </is>
      </c>
      <c r="B7" s="5" t="inlineStr">
        <is>
          <t>BME280 Environmental Sensor</t>
        </is>
      </c>
      <c r="C7" s="5" t="inlineStr">
        <is>
          <t>Air density correction (optional)</t>
        </is>
      </c>
      <c r="D7" s="5" t="inlineStr">
        <is>
          <t>I2C, pressure + temp + humidity</t>
        </is>
      </c>
      <c r="E7" s="6" t="n">
        <v>5</v>
      </c>
      <c r="F7" s="4" t="n">
        <v>1</v>
      </c>
      <c r="G7" s="7" t="n">
        <v>5</v>
      </c>
      <c r="H7" s="8" t="n">
        <v>1750</v>
      </c>
      <c r="I7" s="5" t="inlineStr">
        <is>
          <t>AliExpress, Daraz.lk</t>
        </is>
      </c>
    </row>
    <row r="8">
      <c r="A8" s="4" t="inlineStr">
        <is>
          <t>4</t>
        </is>
      </c>
      <c r="B8" s="5" t="inlineStr">
        <is>
          <t>ESP32-DevKitC Microcontroller</t>
        </is>
      </c>
      <c r="C8" s="5" t="inlineStr">
        <is>
          <t>Main controller (ADC, PWM, WiFi)</t>
        </is>
      </c>
      <c r="D8" s="5" t="inlineStr">
        <is>
          <t>240 MHz dual-core, 4MB Flash, GPIO</t>
        </is>
      </c>
      <c r="E8" s="6" t="n">
        <v>8</v>
      </c>
      <c r="F8" s="4" t="n">
        <v>1</v>
      </c>
      <c r="G8" s="7" t="n">
        <v>8</v>
      </c>
      <c r="H8" s="8" t="n">
        <v>2800</v>
      </c>
      <c r="I8" s="5" t="inlineStr">
        <is>
          <t>Colombo electronics (Pettah)</t>
        </is>
      </c>
    </row>
    <row r="9">
      <c r="A9" s="4" t="inlineStr">
        <is>
          <t>5</t>
        </is>
      </c>
      <c r="B9" s="5" t="inlineStr">
        <is>
          <t>16-channel 5V Relay Module</t>
        </is>
      </c>
      <c r="C9" s="5" t="inlineStr">
        <is>
          <t>Dump load + brake control</t>
        </is>
      </c>
      <c r="D9" s="5" t="inlineStr">
        <is>
          <t>220V/5A per channel, 1 ms response</t>
        </is>
      </c>
      <c r="E9" s="6" t="n">
        <v>6</v>
      </c>
      <c r="F9" s="4" t="n">
        <v>1</v>
      </c>
      <c r="G9" s="7" t="n">
        <v>6</v>
      </c>
      <c r="H9" s="8" t="n">
        <v>2100</v>
      </c>
      <c r="I9" s="5" t="inlineStr">
        <is>
          <t>Local electronics shops</t>
        </is>
      </c>
    </row>
    <row r="10">
      <c r="A10" s="4" t="inlineStr">
        <is>
          <t>6</t>
        </is>
      </c>
      <c r="B10" s="5" t="inlineStr">
        <is>
          <t>DC-DC Converter Module (48V output)</t>
        </is>
      </c>
      <c r="C10" s="5" t="inlineStr">
        <is>
          <t>Battery charging buck-boost</t>
        </is>
      </c>
      <c r="D10" s="5" t="inlineStr">
        <is>
          <t>500W, input 20-60V, output 48V ±2%</t>
        </is>
      </c>
      <c r="E10" s="6" t="n">
        <v>25</v>
      </c>
      <c r="F10" s="4" t="n">
        <v>1</v>
      </c>
      <c r="G10" s="7" t="n">
        <v>25</v>
      </c>
      <c r="H10" s="8" t="n">
        <v>8750</v>
      </c>
      <c r="I10" s="5" t="inlineStr">
        <is>
          <t>Amazon, AliExpress</t>
        </is>
      </c>
    </row>
    <row r="11">
      <c r="A11" s="4" t="inlineStr">
        <is>
          <t>7</t>
        </is>
      </c>
      <c r="B11" s="5" t="inlineStr">
        <is>
          <t>1kW Resistor Bank (dump load)</t>
        </is>
      </c>
      <c r="C11" s="5" t="inlineStr">
        <is>
          <t>Energy dissipation under high wind</t>
        </is>
      </c>
      <c r="D11" s="5" t="inlineStr">
        <is>
          <t>10×100Ω 50W wirewound, heatsink</t>
        </is>
      </c>
      <c r="E11" s="6" t="n">
        <v>12</v>
      </c>
      <c r="F11" s="4" t="n">
        <v>1</v>
      </c>
      <c r="G11" s="7" t="n">
        <v>12</v>
      </c>
      <c r="H11" s="8" t="n">
        <v>4200</v>
      </c>
      <c r="I11" s="5" t="inlineStr">
        <is>
          <t>Local or Amazon</t>
        </is>
      </c>
    </row>
    <row r="12">
      <c r="A12" s="4" t="inlineStr">
        <is>
          <t>8</t>
        </is>
      </c>
      <c r="B12" s="5" t="inlineStr">
        <is>
          <t>IRFZ44N MOSFET (2x)</t>
        </is>
      </c>
      <c r="C12" s="5" t="inlineStr">
        <is>
          <t>PWM gate driver for dump load</t>
        </is>
      </c>
      <c r="D12" s="5" t="inlineStr">
        <is>
          <t>To-220, 49A, 55V, low Rds(on)</t>
        </is>
      </c>
      <c r="E12" s="6" t="n">
        <v>2</v>
      </c>
      <c r="F12" s="4" t="n">
        <v>2</v>
      </c>
      <c r="G12" s="7" t="n">
        <v>4</v>
      </c>
      <c r="H12" s="8" t="n">
        <v>1400</v>
      </c>
      <c r="I12" s="5" t="inlineStr">
        <is>
          <t>Local electronics</t>
        </is>
      </c>
    </row>
    <row r="13">
      <c r="A13" s="4" t="inlineStr">
        <is>
          <t>9</t>
        </is>
      </c>
      <c r="B13" s="5" t="inlineStr">
        <is>
          <t>Fuses + TVS Diodes + MOVs</t>
        </is>
      </c>
      <c r="C13" s="5" t="inlineStr">
        <is>
          <t>Lightning/surge protection</t>
        </is>
      </c>
      <c r="D13" s="5" t="inlineStr">
        <is>
          <t>3×20A fuses, 10×TVS, 5×MOV</t>
        </is>
      </c>
      <c r="E13" s="6" t="n">
        <v>8</v>
      </c>
      <c r="F13" s="4" t="n">
        <v>1</v>
      </c>
      <c r="G13" s="7" t="n">
        <v>8</v>
      </c>
      <c r="H13" s="8" t="n">
        <v>2800</v>
      </c>
      <c r="I13" s="5" t="inlineStr">
        <is>
          <t>Supplier kit</t>
        </is>
      </c>
    </row>
    <row r="14">
      <c r="A14" s="4" t="inlineStr">
        <is>
          <t>10</t>
        </is>
      </c>
      <c r="B14" s="5" t="inlineStr">
        <is>
          <t>16GB Micro-SD Card</t>
        </is>
      </c>
      <c r="C14" s="5" t="inlineStr">
        <is>
          <t>Data logging (SD module)</t>
        </is>
      </c>
      <c r="D14" s="5" t="inlineStr">
        <is>
          <t>Class 10, 95 MB/s read</t>
        </is>
      </c>
      <c r="E14" s="6" t="n">
        <v>3</v>
      </c>
      <c r="F14" s="4" t="n">
        <v>1</v>
      </c>
      <c r="G14" s="7" t="n">
        <v>3</v>
      </c>
      <c r="H14" s="8" t="n">
        <v>1050</v>
      </c>
      <c r="I14" s="5" t="inlineStr">
        <is>
          <t>Any retailer</t>
        </is>
      </c>
    </row>
    <row r="15">
      <c r="A15" s="4" t="inlineStr">
        <is>
          <t>11</t>
        </is>
      </c>
      <c r="B15" s="5" t="inlineStr">
        <is>
          <t>Wiring Kit + Terminal Blocks</t>
        </is>
      </c>
      <c r="C15" s="5" t="inlineStr">
        <is>
          <t>System interconnect</t>
        </is>
      </c>
      <c r="D15" s="5" t="inlineStr">
        <is>
          <t>14 AWG silicone wire, 3.81mm blocks</t>
        </is>
      </c>
      <c r="E15" s="6" t="n">
        <v>10</v>
      </c>
      <c r="F15" s="4" t="n">
        <v>1</v>
      </c>
      <c r="G15" s="7" t="n">
        <v>10</v>
      </c>
      <c r="H15" s="8" t="n">
        <v>3500</v>
      </c>
      <c r="I15" s="5" t="inlineStr">
        <is>
          <t>Electronics shops</t>
        </is>
      </c>
    </row>
    <row r="16">
      <c r="A16" s="4" t="inlineStr">
        <is>
          <t>12</t>
        </is>
      </c>
      <c r="B16" s="5" t="inlineStr">
        <is>
          <t>3D-Printed Enclosure (PLA)</t>
        </is>
      </c>
      <c r="C16" s="5" t="inlineStr">
        <is>
          <t>Controller weatherproofing</t>
        </is>
      </c>
      <c r="D16" s="5" t="inlineStr">
        <is>
          <t>IP65-grade, 150×150×100mm</t>
        </is>
      </c>
      <c r="E16" s="6" t="n">
        <v>15</v>
      </c>
      <c r="F16" s="4" t="n">
        <v>1</v>
      </c>
      <c r="G16" s="7" t="n">
        <v>15</v>
      </c>
      <c r="H16" s="8" t="n">
        <v>5250</v>
      </c>
      <c r="I16" s="5" t="inlineStr">
        <is>
          <t>Local 3D printer or online</t>
        </is>
      </c>
    </row>
    <row r="17">
      <c r="A17" s="4" t="inlineStr">
        <is>
          <t>13</t>
        </is>
      </c>
      <c r="B17" s="5" t="inlineStr">
        <is>
          <t>Mechanical Brake (used)</t>
        </is>
      </c>
      <c r="C17" s="5" t="inlineStr">
        <is>
          <t>Fail-safe overspeed protection</t>
        </is>
      </c>
      <c r="D17" s="5" t="inlineStr">
        <is>
          <t>Motorcycle brake caliper (125cc)</t>
        </is>
      </c>
      <c r="E17" s="6" t="n">
        <v>5</v>
      </c>
      <c r="F17" s="4" t="n">
        <v>1</v>
      </c>
      <c r="G17" s="7" t="n">
        <v>5</v>
      </c>
      <c r="H17" s="8" t="n">
        <v>1750</v>
      </c>
      <c r="I17" s="5" t="inlineStr">
        <is>
          <t>Salvage/used market</t>
        </is>
      </c>
    </row>
    <row r="18">
      <c r="A18" s="9" t="inlineStr">
        <is>
          <t>SUBTOTAL (Hardware)</t>
        </is>
      </c>
      <c r="G18" s="9">
        <f>SUM(G5:G17)</f>
        <v/>
      </c>
      <c r="H18" s="9">
        <f>SUM(H5:H17)</f>
        <v/>
      </c>
    </row>
    <row r="19">
      <c r="A19" s="10" t="inlineStr">
        <is>
          <t>Assembly Labor + Testing</t>
        </is>
      </c>
      <c r="G19" t="n">
        <v>20</v>
      </c>
      <c r="H19">
        <f>G19*350</f>
        <v/>
      </c>
    </row>
    <row r="20" ht="20" customHeight="1">
      <c r="A20" s="11" t="inlineStr">
        <is>
          <t>TOTAL SYSTEM COST</t>
        </is>
      </c>
      <c r="G20" s="12">
        <f>SUM(G18:G19)</f>
        <v/>
      </c>
      <c r="H20" s="13">
        <f>G20*350</f>
        <v/>
      </c>
    </row>
  </sheetData>
  <mergeCells count="5">
    <mergeCell ref="A2:I2"/>
    <mergeCell ref="A19:F19"/>
    <mergeCell ref="A1:I1"/>
    <mergeCell ref="A18:F18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2" customWidth="1" min="4" max="4"/>
    <col width="14" customWidth="1" min="5" max="5"/>
    <col width="10" customWidth="1" min="6" max="6"/>
    <col width="14" customWidth="1" min="7" max="7"/>
    <col width="14" customWidth="1" min="8" max="8"/>
    <col width="24" customWidth="1" min="9" max="9"/>
  </cols>
  <sheetData>
    <row r="1" ht="25" customHeight="1">
      <c r="A1" s="1" t="inlineStr">
        <is>
          <t>500W Helical VAWT - STANDARD BUDGET SYSTEM (MPPT + Research Grade)</t>
        </is>
      </c>
    </row>
    <row r="2" ht="20" customHeight="1">
      <c r="A2" s="2" t="inlineStr">
        <is>
          <t>Budget Target: LKR 250,000 (~$750 USD) | Adds anemometry, encoder, enhanced protection</t>
        </is>
      </c>
    </row>
    <row r="4" ht="35" customHeight="1">
      <c r="A4" s="3" t="inlineStr">
        <is>
          <t>Item #</t>
        </is>
      </c>
      <c r="B4" s="3" t="inlineStr">
        <is>
          <t>Component</t>
        </is>
      </c>
      <c r="C4" s="3" t="inlineStr">
        <is>
          <t>Function for MPPT</t>
        </is>
      </c>
      <c r="D4" s="3" t="inlineStr">
        <is>
          <t>Specification</t>
        </is>
      </c>
      <c r="E4" s="3" t="inlineStr">
        <is>
          <t>Unit Cost (USD)</t>
        </is>
      </c>
      <c r="F4" s="3" t="inlineStr">
        <is>
          <t>Quantity</t>
        </is>
      </c>
      <c r="G4" s="3" t="inlineStr">
        <is>
          <t>Total (USD)</t>
        </is>
      </c>
      <c r="H4" s="3" t="inlineStr">
        <is>
          <t>LKR @ 350×</t>
        </is>
      </c>
      <c r="I4" s="3" t="inlineStr">
        <is>
          <t>Supplier (Sri Lanka)</t>
        </is>
      </c>
    </row>
    <row r="5">
      <c r="A5" s="4" t="inlineStr">
        <is>
          <t>1</t>
        </is>
      </c>
      <c r="B5" s="5" t="inlineStr">
        <is>
          <t>Hall Effect RPM Sensor (A3144)</t>
        </is>
      </c>
      <c r="C5" s="5" t="inlineStr">
        <is>
          <t>Rotor speed feedback (λ calculation)</t>
        </is>
      </c>
      <c r="D5" s="5" t="inlineStr">
        <is>
          <t>Digital output, 5V TTL, 100 kHz</t>
        </is>
      </c>
      <c r="E5" s="6" t="n">
        <v>4</v>
      </c>
      <c r="F5" s="4" t="n">
        <v>1</v>
      </c>
      <c r="G5" s="7" t="n">
        <v>4</v>
      </c>
      <c r="H5" s="8" t="n">
        <v>1400</v>
      </c>
      <c r="I5" s="5" t="inlineStr">
        <is>
          <t>AliExpress bulk</t>
        </is>
      </c>
    </row>
    <row r="6">
      <c r="A6" s="4" t="inlineStr">
        <is>
          <t>2</t>
        </is>
      </c>
      <c r="B6" s="5" t="inlineStr">
        <is>
          <t>INA226 Current/Voltage Sensor</t>
        </is>
      </c>
      <c r="C6" s="5" t="inlineStr">
        <is>
          <t>DC bus V, I measurement</t>
        </is>
      </c>
      <c r="D6" s="5" t="inlineStr">
        <is>
          <t>I2C, 16-bit, 50A max</t>
        </is>
      </c>
      <c r="E6" s="6" t="n">
        <v>10</v>
      </c>
      <c r="F6" s="4" t="n">
        <v>1</v>
      </c>
      <c r="G6" s="7" t="n">
        <v>10</v>
      </c>
      <c r="H6" s="8" t="n">
        <v>3500</v>
      </c>
      <c r="I6" s="5" t="inlineStr">
        <is>
          <t>Daraz.lk</t>
        </is>
      </c>
    </row>
    <row r="7">
      <c r="A7" s="4" t="inlineStr">
        <is>
          <t>3</t>
        </is>
      </c>
      <c r="B7" s="5" t="inlineStr">
        <is>
          <t>BME280 Environmental Sensor</t>
        </is>
      </c>
      <c r="C7" s="5" t="inlineStr">
        <is>
          <t>Air density correction</t>
        </is>
      </c>
      <c r="D7" s="5" t="inlineStr">
        <is>
          <t>I2C, pressure + temp + humidity</t>
        </is>
      </c>
      <c r="E7" s="6" t="n">
        <v>5</v>
      </c>
      <c r="F7" s="4" t="n">
        <v>1</v>
      </c>
      <c r="G7" s="7" t="n">
        <v>5</v>
      </c>
      <c r="H7" s="8" t="n">
        <v>1750</v>
      </c>
      <c r="I7" s="5" t="inlineStr">
        <is>
          <t>AliExpress</t>
        </is>
      </c>
    </row>
    <row r="8">
      <c r="A8" s="4" t="inlineStr">
        <is>
          <t>4</t>
        </is>
      </c>
      <c r="B8" s="5" t="inlineStr">
        <is>
          <t>ESP32-DevKitC Microcontroller</t>
        </is>
      </c>
      <c r="C8" s="5" t="inlineStr">
        <is>
          <t>Main controller</t>
        </is>
      </c>
      <c r="D8" s="5" t="inlineStr">
        <is>
          <t>240 MHz dual-core, 4MB Flash</t>
        </is>
      </c>
      <c r="E8" s="6" t="n">
        <v>8</v>
      </c>
      <c r="F8" s="4" t="n">
        <v>1</v>
      </c>
      <c r="G8" s="7" t="n">
        <v>8</v>
      </c>
      <c r="H8" s="8" t="n">
        <v>2800</v>
      </c>
      <c r="I8" s="5" t="inlineStr">
        <is>
          <t>Colombo (Pettah)</t>
        </is>
      </c>
    </row>
    <row r="9">
      <c r="A9" s="4" t="inlineStr">
        <is>
          <t>5</t>
        </is>
      </c>
      <c r="B9" s="5" t="inlineStr">
        <is>
          <t>16-channel 5V Relay Module</t>
        </is>
      </c>
      <c r="C9" s="5" t="inlineStr">
        <is>
          <t>Dump load + brake control</t>
        </is>
      </c>
      <c r="D9" s="5" t="inlineStr">
        <is>
          <t>220V/5A per channel</t>
        </is>
      </c>
      <c r="E9" s="6" t="n">
        <v>6</v>
      </c>
      <c r="F9" s="4" t="n">
        <v>1</v>
      </c>
      <c r="G9" s="7" t="n">
        <v>6</v>
      </c>
      <c r="H9" s="8" t="n">
        <v>2100</v>
      </c>
      <c r="I9" s="5" t="inlineStr">
        <is>
          <t>Local shops</t>
        </is>
      </c>
    </row>
    <row r="10">
      <c r="A10" s="4" t="inlineStr">
        <is>
          <t>6</t>
        </is>
      </c>
      <c r="B10" s="5" t="inlineStr">
        <is>
          <t>DC-DC Converter Module (48V)</t>
        </is>
      </c>
      <c r="C10" s="5" t="inlineStr">
        <is>
          <t>Battery charging</t>
        </is>
      </c>
      <c r="D10" s="5" t="inlineStr">
        <is>
          <t>500W, input 20-60V</t>
        </is>
      </c>
      <c r="E10" s="6" t="n">
        <v>25</v>
      </c>
      <c r="F10" s="4" t="n">
        <v>1</v>
      </c>
      <c r="G10" s="7" t="n">
        <v>25</v>
      </c>
      <c r="H10" s="8" t="n">
        <v>8750</v>
      </c>
      <c r="I10" s="5" t="inlineStr">
        <is>
          <t>Amazon</t>
        </is>
      </c>
    </row>
    <row r="11">
      <c r="A11" s="4" t="inlineStr">
        <is>
          <t>7</t>
        </is>
      </c>
      <c r="B11" s="5" t="inlineStr">
        <is>
          <t>1kW Resistor Bank (dump load)</t>
        </is>
      </c>
      <c r="C11" s="5" t="inlineStr">
        <is>
          <t>Energy dissipation</t>
        </is>
      </c>
      <c r="D11" s="5" t="inlineStr">
        <is>
          <t>10×100Ω 50W wirewound</t>
        </is>
      </c>
      <c r="E11" s="6" t="n">
        <v>12</v>
      </c>
      <c r="F11" s="4" t="n">
        <v>1</v>
      </c>
      <c r="G11" s="7" t="n">
        <v>12</v>
      </c>
      <c r="H11" s="8" t="n">
        <v>4200</v>
      </c>
      <c r="I11" s="5" t="inlineStr">
        <is>
          <t>Local</t>
        </is>
      </c>
    </row>
    <row r="12">
      <c r="A12" s="4" t="inlineStr">
        <is>
          <t>8</t>
        </is>
      </c>
      <c r="B12" s="5" t="inlineStr">
        <is>
          <t>IRFZ44N MOSFET (2x)</t>
        </is>
      </c>
      <c r="C12" s="5" t="inlineStr">
        <is>
          <t>PWM gate driver</t>
        </is>
      </c>
      <c r="D12" s="5" t="inlineStr">
        <is>
          <t>To-220, 49A, 55V</t>
        </is>
      </c>
      <c r="E12" s="6" t="n">
        <v>2</v>
      </c>
      <c r="F12" s="4" t="n">
        <v>2</v>
      </c>
      <c r="G12" s="7" t="n">
        <v>4</v>
      </c>
      <c r="H12" s="8" t="n">
        <v>1400</v>
      </c>
      <c r="I12" s="5" t="inlineStr">
        <is>
          <t>Local</t>
        </is>
      </c>
    </row>
    <row r="13">
      <c r="A13" s="4" t="inlineStr">
        <is>
          <t>9</t>
        </is>
      </c>
      <c r="B13" s="5" t="inlineStr">
        <is>
          <t>Fuses + TVS Diodes + MOVs</t>
        </is>
      </c>
      <c r="C13" s="5" t="inlineStr">
        <is>
          <t>Lightning/surge protection</t>
        </is>
      </c>
      <c r="D13" s="5" t="inlineStr">
        <is>
          <t>3×20A fuses + diodes + MOVs</t>
        </is>
      </c>
      <c r="E13" s="6" t="n">
        <v>8</v>
      </c>
      <c r="F13" s="4" t="n">
        <v>1</v>
      </c>
      <c r="G13" s="7" t="n">
        <v>8</v>
      </c>
      <c r="H13" s="8" t="n">
        <v>2800</v>
      </c>
      <c r="I13" s="5" t="inlineStr">
        <is>
          <t>Kit</t>
        </is>
      </c>
    </row>
    <row r="14">
      <c r="A14" s="4" t="inlineStr">
        <is>
          <t>10</t>
        </is>
      </c>
      <c r="B14" s="5" t="inlineStr">
        <is>
          <t>16GB Micro-SD Card</t>
        </is>
      </c>
      <c r="C14" s="5" t="inlineStr">
        <is>
          <t>Data logging</t>
        </is>
      </c>
      <c r="D14" s="5" t="inlineStr">
        <is>
          <t>Class 10, 95 MB/s</t>
        </is>
      </c>
      <c r="E14" s="6" t="n">
        <v>3</v>
      </c>
      <c r="F14" s="4" t="n">
        <v>1</v>
      </c>
      <c r="G14" s="7" t="n">
        <v>3</v>
      </c>
      <c r="H14" s="8" t="n">
        <v>1050</v>
      </c>
      <c r="I14" s="5" t="inlineStr">
        <is>
          <t>Any retailer</t>
        </is>
      </c>
    </row>
    <row r="15">
      <c r="A15" s="4" t="inlineStr">
        <is>
          <t>11</t>
        </is>
      </c>
      <c r="B15" s="5" t="inlineStr">
        <is>
          <t>Wiring Kit + Terminal Blocks</t>
        </is>
      </c>
      <c r="C15" s="5" t="inlineStr">
        <is>
          <t>System interconnect</t>
        </is>
      </c>
      <c r="D15" s="5" t="inlineStr">
        <is>
          <t>14 AWG silicone + 3.81mm blocks</t>
        </is>
      </c>
      <c r="E15" s="6" t="n">
        <v>10</v>
      </c>
      <c r="F15" s="4" t="n">
        <v>1</v>
      </c>
      <c r="G15" s="7" t="n">
        <v>10</v>
      </c>
      <c r="H15" s="8" t="n">
        <v>3500</v>
      </c>
      <c r="I15" s="5" t="inlineStr">
        <is>
          <t>Local</t>
        </is>
      </c>
    </row>
    <row r="16">
      <c r="A16" s="4" t="inlineStr">
        <is>
          <t>12</t>
        </is>
      </c>
      <c r="B16" s="5" t="inlineStr">
        <is>
          <t>3D-Printed Enclosure (PLA)</t>
        </is>
      </c>
      <c r="C16" s="5" t="inlineStr">
        <is>
          <t>Controller weatherproofing</t>
        </is>
      </c>
      <c r="D16" s="5" t="inlineStr">
        <is>
          <t>IP65-grade, 150×150×100mm</t>
        </is>
      </c>
      <c r="E16" s="6" t="n">
        <v>15</v>
      </c>
      <c r="F16" s="4" t="n">
        <v>1</v>
      </c>
      <c r="G16" s="7" t="n">
        <v>15</v>
      </c>
      <c r="H16" s="8" t="n">
        <v>5250</v>
      </c>
      <c r="I16" s="5" t="inlineStr">
        <is>
          <t>3D printer</t>
        </is>
      </c>
    </row>
    <row r="17">
      <c r="A17" s="4" t="inlineStr">
        <is>
          <t>13</t>
        </is>
      </c>
      <c r="B17" s="5" t="inlineStr">
        <is>
          <t>Mechanical Brake (used)</t>
        </is>
      </c>
      <c r="C17" s="5" t="inlineStr">
        <is>
          <t>Fail-safe overspeed</t>
        </is>
      </c>
      <c r="D17" s="5" t="inlineStr">
        <is>
          <t>Motorcycle brake caliper</t>
        </is>
      </c>
      <c r="E17" s="6" t="n">
        <v>5</v>
      </c>
      <c r="F17" s="4" t="n">
        <v>1</v>
      </c>
      <c r="G17" s="7" t="n">
        <v>5</v>
      </c>
      <c r="H17" s="8" t="n">
        <v>1750</v>
      </c>
      <c r="I17" s="5" t="inlineStr">
        <is>
          <t>Used market</t>
        </is>
      </c>
    </row>
    <row r="18">
      <c r="A18" s="4" t="inlineStr">
        <is>
          <t>14</t>
        </is>
      </c>
      <c r="B18" s="5" t="inlineStr">
        <is>
          <t>Cup Anemometer (Inspeed Vortex)</t>
        </is>
      </c>
      <c r="C18" s="5" t="inlineStr">
        <is>
          <t>Wind speed measurement (Cp validation)</t>
        </is>
      </c>
      <c r="D18" s="5" t="inlineStr">
        <is>
          <t>±0.3 m/s accuracy, 3-cup rotor</t>
        </is>
      </c>
      <c r="E18" s="6" t="n">
        <v>150</v>
      </c>
      <c r="F18" s="4" t="n">
        <v>1</v>
      </c>
      <c r="G18" s="7" t="n">
        <v>150</v>
      </c>
      <c r="H18" s="8" t="n">
        <v>52500</v>
      </c>
      <c r="I18" s="5" t="inlineStr">
        <is>
          <t>Amazon Global</t>
        </is>
      </c>
    </row>
    <row r="19">
      <c r="A19" s="4" t="inlineStr">
        <is>
          <t>15</t>
        </is>
      </c>
      <c r="B19" s="5" t="inlineStr">
        <is>
          <t>Optical Encoder (1000 ppr)</t>
        </is>
      </c>
      <c r="C19" s="5" t="inlineStr">
        <is>
          <t>High-res rotor speed (±0.1 RPM)</t>
        </is>
      </c>
      <c r="D19" s="5" t="inlineStr">
        <is>
          <t>To-220, 1000 pulses/rev</t>
        </is>
      </c>
      <c r="E19" s="6" t="n">
        <v>80</v>
      </c>
      <c r="F19" s="4" t="n">
        <v>1</v>
      </c>
      <c r="G19" s="7" t="n">
        <v>80</v>
      </c>
      <c r="H19" s="8" t="n">
        <v>28000</v>
      </c>
      <c r="I19" s="5" t="inlineStr">
        <is>
          <t>Amazon/AliExpress</t>
        </is>
      </c>
    </row>
    <row r="20">
      <c r="A20" s="4" t="inlineStr">
        <is>
          <t>16</t>
        </is>
      </c>
      <c r="B20" s="5" t="inlineStr">
        <is>
          <t>Current Sensor (LEM HO 50-P)</t>
        </is>
      </c>
      <c r="C20" s="5" t="inlineStr">
        <is>
          <t>Isolated AC/DC current measurement</t>
        </is>
      </c>
      <c r="D20" s="5" t="inlineStr">
        <is>
          <t>±50A range, 0-5V output</t>
        </is>
      </c>
      <c r="E20" s="6" t="n">
        <v>70</v>
      </c>
      <c r="F20" s="4" t="n">
        <v>1</v>
      </c>
      <c r="G20" s="7" t="n">
        <v>70</v>
      </c>
      <c r="H20" s="8" t="n">
        <v>24500</v>
      </c>
      <c r="I20" s="5" t="inlineStr">
        <is>
          <t>International supplier</t>
        </is>
      </c>
    </row>
    <row r="21">
      <c r="A21" s="4" t="inlineStr">
        <is>
          <t>17</t>
        </is>
      </c>
      <c r="B21" s="5" t="inlineStr">
        <is>
          <t>Solar Panel (5W, reference)</t>
        </is>
      </c>
      <c r="C21" s="5" t="inlineStr">
        <is>
          <t>Power budget testing</t>
        </is>
      </c>
      <c r="D21" s="5" t="inlineStr">
        <is>
          <t>Small 5W panel for bench HIL</t>
        </is>
      </c>
      <c r="E21" s="6" t="n">
        <v>20</v>
      </c>
      <c r="F21" s="4" t="n">
        <v>1</v>
      </c>
      <c r="G21" s="7" t="n">
        <v>20</v>
      </c>
      <c r="H21" s="8" t="n">
        <v>7000</v>
      </c>
      <c r="I21" s="5" t="inlineStr">
        <is>
          <t>Local</t>
        </is>
      </c>
    </row>
    <row r="22">
      <c r="A22" s="4" t="inlineStr">
        <is>
          <t>18</t>
        </is>
      </c>
      <c r="B22" s="5" t="inlineStr">
        <is>
          <t>SG3525 PWM Controller IC (backup)</t>
        </is>
      </c>
      <c r="C22" s="5" t="inlineStr">
        <is>
          <t>Redundant converter control</t>
        </is>
      </c>
      <c r="D22" s="5" t="inlineStr">
        <is>
          <t>Analog PWM, 500 kHz max</t>
        </is>
      </c>
      <c r="E22" s="6" t="n">
        <v>5</v>
      </c>
      <c r="F22" s="4" t="n">
        <v>2</v>
      </c>
      <c r="G22" s="7" t="n">
        <v>10</v>
      </c>
      <c r="H22" s="8" t="n">
        <v>3500</v>
      </c>
      <c r="I22" s="5" t="inlineStr">
        <is>
          <t>Local</t>
        </is>
      </c>
    </row>
    <row r="23">
      <c r="A23" s="4" t="inlineStr">
        <is>
          <t>19</t>
        </is>
      </c>
      <c r="B23" s="5" t="inlineStr">
        <is>
          <t>PCB Fabrication (2-layer, 2oz)</t>
        </is>
      </c>
      <c r="C23" s="5" t="inlineStr">
        <is>
          <t>Custom power electronics PCB</t>
        </is>
      </c>
      <c r="D23" s="5" t="inlineStr">
        <is>
          <t>10×10cm, HASL finish</t>
        </is>
      </c>
      <c r="E23" s="6" t="n">
        <v>40</v>
      </c>
      <c r="F23" s="4" t="n">
        <v>1</v>
      </c>
      <c r="G23" s="7" t="n">
        <v>40</v>
      </c>
      <c r="H23" s="8" t="n">
        <v>14000</v>
      </c>
      <c r="I23" s="5" t="inlineStr">
        <is>
          <t>PCB Power / Grintek</t>
        </is>
      </c>
    </row>
    <row r="24">
      <c r="A24" s="4" t="inlineStr">
        <is>
          <t>20</t>
        </is>
      </c>
      <c r="B24" s="5" t="inlineStr">
        <is>
          <t>Thermal Camera (FLIR E-series, used)</t>
        </is>
      </c>
      <c r="C24" s="5" t="inlineStr">
        <is>
          <t>Heatsink/MOSFET temp monitoring</t>
        </is>
      </c>
      <c r="D24" s="5" t="inlineStr">
        <is>
          <t>Calibrated used unit</t>
        </is>
      </c>
      <c r="E24" s="6" t="n">
        <v>200</v>
      </c>
      <c r="F24" s="4" t="n">
        <v>1</v>
      </c>
      <c r="G24" s="7" t="n">
        <v>200</v>
      </c>
      <c r="H24" s="8" t="n">
        <v>70000</v>
      </c>
      <c r="I24" s="5" t="inlineStr">
        <is>
          <t>Used market (optional)</t>
        </is>
      </c>
    </row>
    <row r="25">
      <c r="A25" s="9" t="inlineStr">
        <is>
          <t>SUBTOTAL (Hardware)</t>
        </is>
      </c>
      <c r="G25" s="9">
        <f>SUM(G5:G24)</f>
        <v/>
      </c>
      <c r="H25" s="9">
        <f>SUM(H5:H24)</f>
        <v/>
      </c>
    </row>
    <row r="26">
      <c r="A26" s="10" t="inlineStr">
        <is>
          <t>Assembly Labor + Testing + Calibration</t>
        </is>
      </c>
      <c r="G26" t="n">
        <v>50</v>
      </c>
      <c r="H26">
        <f>G26*350</f>
        <v/>
      </c>
    </row>
    <row r="27" ht="20" customHeight="1">
      <c r="A27" s="11" t="inlineStr">
        <is>
          <t>TOTAL SYSTEM COST</t>
        </is>
      </c>
      <c r="G27" s="12">
        <f>SUM(G25:G26)</f>
        <v/>
      </c>
      <c r="H27" s="13">
        <f>G27*350</f>
        <v/>
      </c>
    </row>
  </sheetData>
  <mergeCells count="5">
    <mergeCell ref="A2:I2"/>
    <mergeCell ref="A27:F27"/>
    <mergeCell ref="A1:I1"/>
    <mergeCell ref="A26:F2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2" customWidth="1" min="4" max="4"/>
    <col width="14" customWidth="1" min="5" max="5"/>
    <col width="10" customWidth="1" min="6" max="6"/>
    <col width="14" customWidth="1" min="7" max="7"/>
    <col width="14" customWidth="1" min="8" max="8"/>
    <col width="24" customWidth="1" min="9" max="9"/>
  </cols>
  <sheetData>
    <row r="1" ht="25" customHeight="1">
      <c r="A1" s="1" t="inlineStr">
        <is>
          <t>500W Helical VAWT - PREMIUM RESEARCH SYSTEM (All Features)</t>
        </is>
      </c>
    </row>
    <row r="2" ht="20" customHeight="1">
      <c r="A2" s="2" t="inlineStr">
        <is>
          <t>Budget Target: LKR 385,000 (~$1,100 USD) | Includes advanced instrumentation for thesis-level validation</t>
        </is>
      </c>
    </row>
    <row r="4" ht="35" customHeight="1">
      <c r="A4" s="3" t="inlineStr">
        <is>
          <t>Item #</t>
        </is>
      </c>
      <c r="B4" s="3" t="inlineStr">
        <is>
          <t>Component</t>
        </is>
      </c>
      <c r="C4" s="3" t="inlineStr">
        <is>
          <t>Function for MPPT</t>
        </is>
      </c>
      <c r="D4" s="3" t="inlineStr">
        <is>
          <t>Specification</t>
        </is>
      </c>
      <c r="E4" s="3" t="inlineStr">
        <is>
          <t>Unit Cost (USD)</t>
        </is>
      </c>
      <c r="F4" s="3" t="inlineStr">
        <is>
          <t>Quantity</t>
        </is>
      </c>
      <c r="G4" s="3" t="inlineStr">
        <is>
          <t>Total (USD)</t>
        </is>
      </c>
      <c r="H4" s="3" t="inlineStr">
        <is>
          <t>LKR @ 350×</t>
        </is>
      </c>
      <c r="I4" s="3" t="inlineStr">
        <is>
          <t>Supplier (Sri Lanka)</t>
        </is>
      </c>
    </row>
    <row r="5">
      <c r="A5" s="4" t="inlineStr">
        <is>
          <t>1</t>
        </is>
      </c>
      <c r="B5" s="5" t="inlineStr">
        <is>
          <t>Hall Effect RPM Sensor (A3144)</t>
        </is>
      </c>
      <c r="C5" s="5" t="inlineStr">
        <is>
          <t>Rotor speed feedback (λ calculation)</t>
        </is>
      </c>
      <c r="D5" s="5" t="inlineStr">
        <is>
          <t>Digital output, 5V TTL, 100 kHz</t>
        </is>
      </c>
      <c r="E5" s="6" t="n">
        <v>4</v>
      </c>
      <c r="F5" s="4" t="n">
        <v>1</v>
      </c>
      <c r="G5" s="7" t="n">
        <v>4</v>
      </c>
      <c r="H5" s="8" t="n">
        <v>1400</v>
      </c>
      <c r="I5" s="5" t="inlineStr">
        <is>
          <t>AliExpress bulk</t>
        </is>
      </c>
    </row>
    <row r="6">
      <c r="A6" s="4" t="inlineStr">
        <is>
          <t>2</t>
        </is>
      </c>
      <c r="B6" s="5" t="inlineStr">
        <is>
          <t>INA226 Current/Voltage Sensor</t>
        </is>
      </c>
      <c r="C6" s="5" t="inlineStr">
        <is>
          <t>DC bus V, I measurement</t>
        </is>
      </c>
      <c r="D6" s="5" t="inlineStr">
        <is>
          <t>I2C, 16-bit, 50A max</t>
        </is>
      </c>
      <c r="E6" s="6" t="n">
        <v>10</v>
      </c>
      <c r="F6" s="4" t="n">
        <v>1</v>
      </c>
      <c r="G6" s="7" t="n">
        <v>10</v>
      </c>
      <c r="H6" s="8" t="n">
        <v>3500</v>
      </c>
      <c r="I6" s="5" t="inlineStr">
        <is>
          <t>Daraz.lk</t>
        </is>
      </c>
    </row>
    <row r="7">
      <c r="A7" s="4" t="inlineStr">
        <is>
          <t>3</t>
        </is>
      </c>
      <c r="B7" s="5" t="inlineStr">
        <is>
          <t>BME280 Environmental Sensor</t>
        </is>
      </c>
      <c r="C7" s="5" t="inlineStr">
        <is>
          <t>Air density correction</t>
        </is>
      </c>
      <c r="D7" s="5" t="inlineStr">
        <is>
          <t>I2C, pressure + temp + humidity</t>
        </is>
      </c>
      <c r="E7" s="6" t="n">
        <v>5</v>
      </c>
      <c r="F7" s="4" t="n">
        <v>1</v>
      </c>
      <c r="G7" s="7" t="n">
        <v>5</v>
      </c>
      <c r="H7" s="8" t="n">
        <v>1750</v>
      </c>
      <c r="I7" s="5" t="inlineStr">
        <is>
          <t>AliExpress</t>
        </is>
      </c>
    </row>
    <row r="8">
      <c r="A8" s="4" t="inlineStr">
        <is>
          <t>4</t>
        </is>
      </c>
      <c r="B8" s="5" t="inlineStr">
        <is>
          <t>ESP32-DevKitC Microcontroller</t>
        </is>
      </c>
      <c r="C8" s="5" t="inlineStr">
        <is>
          <t>Main controller</t>
        </is>
      </c>
      <c r="D8" s="5" t="inlineStr">
        <is>
          <t>240 MHz dual-core, 4MB Flash</t>
        </is>
      </c>
      <c r="E8" s="6" t="n">
        <v>8</v>
      </c>
      <c r="F8" s="4" t="n">
        <v>1</v>
      </c>
      <c r="G8" s="7" t="n">
        <v>8</v>
      </c>
      <c r="H8" s="8" t="n">
        <v>2800</v>
      </c>
      <c r="I8" s="5" t="inlineStr">
        <is>
          <t>Colombo (Pettah)</t>
        </is>
      </c>
    </row>
    <row r="9">
      <c r="A9" s="4" t="inlineStr">
        <is>
          <t>5</t>
        </is>
      </c>
      <c r="B9" s="5" t="inlineStr">
        <is>
          <t>16-channel 5V Relay Module</t>
        </is>
      </c>
      <c r="C9" s="5" t="inlineStr">
        <is>
          <t>Dump load + brake control</t>
        </is>
      </c>
      <c r="D9" s="5" t="inlineStr">
        <is>
          <t>220V/5A per channel</t>
        </is>
      </c>
      <c r="E9" s="6" t="n">
        <v>6</v>
      </c>
      <c r="F9" s="4" t="n">
        <v>1</v>
      </c>
      <c r="G9" s="7" t="n">
        <v>6</v>
      </c>
      <c r="H9" s="8" t="n">
        <v>2100</v>
      </c>
      <c r="I9" s="5" t="inlineStr">
        <is>
          <t>Local shops</t>
        </is>
      </c>
    </row>
    <row r="10">
      <c r="A10" s="4" t="inlineStr">
        <is>
          <t>6</t>
        </is>
      </c>
      <c r="B10" s="5" t="inlineStr">
        <is>
          <t>DC-DC Converter Module (48V)</t>
        </is>
      </c>
      <c r="C10" s="5" t="inlineStr">
        <is>
          <t>Battery charging</t>
        </is>
      </c>
      <c r="D10" s="5" t="inlineStr">
        <is>
          <t>500W, input 20-60V</t>
        </is>
      </c>
      <c r="E10" s="6" t="n">
        <v>25</v>
      </c>
      <c r="F10" s="4" t="n">
        <v>1</v>
      </c>
      <c r="G10" s="7" t="n">
        <v>25</v>
      </c>
      <c r="H10" s="8" t="n">
        <v>8750</v>
      </c>
      <c r="I10" s="5" t="inlineStr">
        <is>
          <t>Amazon</t>
        </is>
      </c>
    </row>
    <row r="11">
      <c r="A11" s="4" t="inlineStr">
        <is>
          <t>7</t>
        </is>
      </c>
      <c r="B11" s="5" t="inlineStr">
        <is>
          <t>1kW Resistor Bank (dump load)</t>
        </is>
      </c>
      <c r="C11" s="5" t="inlineStr">
        <is>
          <t>Energy dissipation</t>
        </is>
      </c>
      <c r="D11" s="5" t="inlineStr">
        <is>
          <t>10×100Ω 50W wirewound</t>
        </is>
      </c>
      <c r="E11" s="6" t="n">
        <v>12</v>
      </c>
      <c r="F11" s="4" t="n">
        <v>1</v>
      </c>
      <c r="G11" s="7" t="n">
        <v>12</v>
      </c>
      <c r="H11" s="8" t="n">
        <v>4200</v>
      </c>
      <c r="I11" s="5" t="inlineStr">
        <is>
          <t>Local</t>
        </is>
      </c>
    </row>
    <row r="12">
      <c r="A12" s="4" t="inlineStr">
        <is>
          <t>8</t>
        </is>
      </c>
      <c r="B12" s="5" t="inlineStr">
        <is>
          <t>IRFZ44N MOSFET (2x)</t>
        </is>
      </c>
      <c r="C12" s="5" t="inlineStr">
        <is>
          <t>PWM gate driver</t>
        </is>
      </c>
      <c r="D12" s="5" t="inlineStr">
        <is>
          <t>To-220, 49A, 55V</t>
        </is>
      </c>
      <c r="E12" s="6" t="n">
        <v>2</v>
      </c>
      <c r="F12" s="4" t="n">
        <v>2</v>
      </c>
      <c r="G12" s="7" t="n">
        <v>4</v>
      </c>
      <c r="H12" s="8" t="n">
        <v>1400</v>
      </c>
      <c r="I12" s="5" t="inlineStr">
        <is>
          <t>Local</t>
        </is>
      </c>
    </row>
    <row r="13">
      <c r="A13" s="4" t="inlineStr">
        <is>
          <t>9</t>
        </is>
      </c>
      <c r="B13" s="5" t="inlineStr">
        <is>
          <t>Fuses + TVS Diodes + MOVs</t>
        </is>
      </c>
      <c r="C13" s="5" t="inlineStr">
        <is>
          <t>Lightning/surge protection</t>
        </is>
      </c>
      <c r="D13" s="5" t="inlineStr">
        <is>
          <t>3×20A fuses + diodes + MOVs</t>
        </is>
      </c>
      <c r="E13" s="6" t="n">
        <v>8</v>
      </c>
      <c r="F13" s="4" t="n">
        <v>1</v>
      </c>
      <c r="G13" s="7" t="n">
        <v>8</v>
      </c>
      <c r="H13" s="8" t="n">
        <v>2800</v>
      </c>
      <c r="I13" s="5" t="inlineStr">
        <is>
          <t>Kit</t>
        </is>
      </c>
    </row>
    <row r="14">
      <c r="A14" s="4" t="inlineStr">
        <is>
          <t>10</t>
        </is>
      </c>
      <c r="B14" s="5" t="inlineStr">
        <is>
          <t>16GB Micro-SD Card</t>
        </is>
      </c>
      <c r="C14" s="5" t="inlineStr">
        <is>
          <t>Data logging</t>
        </is>
      </c>
      <c r="D14" s="5" t="inlineStr">
        <is>
          <t>Class 10, 95 MB/s</t>
        </is>
      </c>
      <c r="E14" s="6" t="n">
        <v>3</v>
      </c>
      <c r="F14" s="4" t="n">
        <v>1</v>
      </c>
      <c r="G14" s="7" t="n">
        <v>3</v>
      </c>
      <c r="H14" s="8" t="n">
        <v>1050</v>
      </c>
      <c r="I14" s="5" t="inlineStr">
        <is>
          <t>Any retailer</t>
        </is>
      </c>
    </row>
    <row r="15">
      <c r="A15" s="4" t="inlineStr">
        <is>
          <t>11</t>
        </is>
      </c>
      <c r="B15" s="5" t="inlineStr">
        <is>
          <t>Wiring Kit + Terminal Blocks</t>
        </is>
      </c>
      <c r="C15" s="5" t="inlineStr">
        <is>
          <t>System interconnect</t>
        </is>
      </c>
      <c r="D15" s="5" t="inlineStr">
        <is>
          <t>14 AWG silicone + 3.81mm blocks</t>
        </is>
      </c>
      <c r="E15" s="6" t="n">
        <v>10</v>
      </c>
      <c r="F15" s="4" t="n">
        <v>1</v>
      </c>
      <c r="G15" s="7" t="n">
        <v>10</v>
      </c>
      <c r="H15" s="8" t="n">
        <v>3500</v>
      </c>
      <c r="I15" s="5" t="inlineStr">
        <is>
          <t>Local</t>
        </is>
      </c>
    </row>
    <row r="16">
      <c r="A16" s="4" t="inlineStr">
        <is>
          <t>12</t>
        </is>
      </c>
      <c r="B16" s="5" t="inlineStr">
        <is>
          <t>3D-Printed Enclosure (PLA)</t>
        </is>
      </c>
      <c r="C16" s="5" t="inlineStr">
        <is>
          <t>Controller weatherproofing</t>
        </is>
      </c>
      <c r="D16" s="5" t="inlineStr">
        <is>
          <t>IP65-grade, 150×150×100mm</t>
        </is>
      </c>
      <c r="E16" s="6" t="n">
        <v>15</v>
      </c>
      <c r="F16" s="4" t="n">
        <v>1</v>
      </c>
      <c r="G16" s="7" t="n">
        <v>15</v>
      </c>
      <c r="H16" s="8" t="n">
        <v>5250</v>
      </c>
      <c r="I16" s="5" t="inlineStr">
        <is>
          <t>3D printer</t>
        </is>
      </c>
    </row>
    <row r="17">
      <c r="A17" s="4" t="inlineStr">
        <is>
          <t>13</t>
        </is>
      </c>
      <c r="B17" s="5" t="inlineStr">
        <is>
          <t>Mechanical Brake (used)</t>
        </is>
      </c>
      <c r="C17" s="5" t="inlineStr">
        <is>
          <t>Fail-safe overspeed</t>
        </is>
      </c>
      <c r="D17" s="5" t="inlineStr">
        <is>
          <t>Motorcycle brake caliper</t>
        </is>
      </c>
      <c r="E17" s="6" t="n">
        <v>5</v>
      </c>
      <c r="F17" s="4" t="n">
        <v>1</v>
      </c>
      <c r="G17" s="7" t="n">
        <v>5</v>
      </c>
      <c r="H17" s="8" t="n">
        <v>1750</v>
      </c>
      <c r="I17" s="5" t="inlineStr">
        <is>
          <t>Used market</t>
        </is>
      </c>
    </row>
    <row r="18">
      <c r="A18" s="4" t="inlineStr">
        <is>
          <t>14</t>
        </is>
      </c>
      <c r="B18" s="5" t="inlineStr">
        <is>
          <t>Cup Anemometer (Inspeed Vortex)</t>
        </is>
      </c>
      <c r="C18" s="5" t="inlineStr">
        <is>
          <t>Wind speed measurement (Cp validation)</t>
        </is>
      </c>
      <c r="D18" s="5" t="inlineStr">
        <is>
          <t>±0.3 m/s accuracy, 3-cup rotor</t>
        </is>
      </c>
      <c r="E18" s="6" t="n">
        <v>150</v>
      </c>
      <c r="F18" s="4" t="n">
        <v>1</v>
      </c>
      <c r="G18" s="7" t="n">
        <v>150</v>
      </c>
      <c r="H18" s="8" t="n">
        <v>52500</v>
      </c>
      <c r="I18" s="5" t="inlineStr">
        <is>
          <t>Amazon Global</t>
        </is>
      </c>
    </row>
    <row r="19">
      <c r="A19" s="4" t="inlineStr">
        <is>
          <t>15</t>
        </is>
      </c>
      <c r="B19" s="5" t="inlineStr">
        <is>
          <t>Optical Encoder (1000 ppr)</t>
        </is>
      </c>
      <c r="C19" s="5" t="inlineStr">
        <is>
          <t>High-res rotor speed (±0.1 RPM)</t>
        </is>
      </c>
      <c r="D19" s="5" t="inlineStr">
        <is>
          <t>To-220, 1000 pulses/rev</t>
        </is>
      </c>
      <c r="E19" s="6" t="n">
        <v>80</v>
      </c>
      <c r="F19" s="4" t="n">
        <v>1</v>
      </c>
      <c r="G19" s="7" t="n">
        <v>80</v>
      </c>
      <c r="H19" s="8" t="n">
        <v>28000</v>
      </c>
      <c r="I19" s="5" t="inlineStr">
        <is>
          <t>Amazon/AliExpress</t>
        </is>
      </c>
    </row>
    <row r="20">
      <c r="A20" s="4" t="inlineStr">
        <is>
          <t>16</t>
        </is>
      </c>
      <c r="B20" s="5" t="inlineStr">
        <is>
          <t>Current Sensor (LEM HO 50-P)</t>
        </is>
      </c>
      <c r="C20" s="5" t="inlineStr">
        <is>
          <t>Isolated AC/DC current measurement</t>
        </is>
      </c>
      <c r="D20" s="5" t="inlineStr">
        <is>
          <t>±50A range, 0-5V output</t>
        </is>
      </c>
      <c r="E20" s="6" t="n">
        <v>70</v>
      </c>
      <c r="F20" s="4" t="n">
        <v>1</v>
      </c>
      <c r="G20" s="7" t="n">
        <v>70</v>
      </c>
      <c r="H20" s="8" t="n">
        <v>24500</v>
      </c>
      <c r="I20" s="5" t="inlineStr">
        <is>
          <t>International supplier</t>
        </is>
      </c>
    </row>
    <row r="21">
      <c r="A21" s="4" t="inlineStr">
        <is>
          <t>17</t>
        </is>
      </c>
      <c r="B21" s="5" t="inlineStr">
        <is>
          <t>Solar Panel (5W, reference)</t>
        </is>
      </c>
      <c r="C21" s="5" t="inlineStr">
        <is>
          <t>Power budget testing</t>
        </is>
      </c>
      <c r="D21" s="5" t="inlineStr">
        <is>
          <t>Small 5W panel for bench HIL</t>
        </is>
      </c>
      <c r="E21" s="6" t="n">
        <v>20</v>
      </c>
      <c r="F21" s="4" t="n">
        <v>1</v>
      </c>
      <c r="G21" s="7" t="n">
        <v>20</v>
      </c>
      <c r="H21" s="8" t="n">
        <v>7000</v>
      </c>
      <c r="I21" s="5" t="inlineStr">
        <is>
          <t>Local</t>
        </is>
      </c>
    </row>
    <row r="22">
      <c r="A22" s="4" t="inlineStr">
        <is>
          <t>18</t>
        </is>
      </c>
      <c r="B22" s="5" t="inlineStr">
        <is>
          <t>SG3525 PWM Controller IC (backup)</t>
        </is>
      </c>
      <c r="C22" s="5" t="inlineStr">
        <is>
          <t>Redundant converter control</t>
        </is>
      </c>
      <c r="D22" s="5" t="inlineStr">
        <is>
          <t>Analog PWM, 500 kHz max</t>
        </is>
      </c>
      <c r="E22" s="6" t="n">
        <v>5</v>
      </c>
      <c r="F22" s="4" t="n">
        <v>2</v>
      </c>
      <c r="G22" s="7" t="n">
        <v>10</v>
      </c>
      <c r="H22" s="8" t="n">
        <v>3500</v>
      </c>
      <c r="I22" s="5" t="inlineStr">
        <is>
          <t>Local</t>
        </is>
      </c>
    </row>
    <row r="23">
      <c r="A23" s="4" t="inlineStr">
        <is>
          <t>19</t>
        </is>
      </c>
      <c r="B23" s="5" t="inlineStr">
        <is>
          <t>PCB Fabrication (2-layer, 2oz)</t>
        </is>
      </c>
      <c r="C23" s="5" t="inlineStr">
        <is>
          <t>Custom power electronics PCB</t>
        </is>
      </c>
      <c r="D23" s="5" t="inlineStr">
        <is>
          <t>10×10cm, HASL finish</t>
        </is>
      </c>
      <c r="E23" s="6" t="n">
        <v>40</v>
      </c>
      <c r="F23" s="4" t="n">
        <v>1</v>
      </c>
      <c r="G23" s="7" t="n">
        <v>40</v>
      </c>
      <c r="H23" s="8" t="n">
        <v>14000</v>
      </c>
      <c r="I23" s="5" t="inlineStr">
        <is>
          <t>PCB Power / Grintek</t>
        </is>
      </c>
    </row>
    <row r="24">
      <c r="A24" s="4" t="inlineStr">
        <is>
          <t>20</t>
        </is>
      </c>
      <c r="B24" s="5" t="inlineStr">
        <is>
          <t>Thermal Camera (FLIR E-series, used)</t>
        </is>
      </c>
      <c r="C24" s="5" t="inlineStr">
        <is>
          <t>Heatsink/MOSFET temp monitoring</t>
        </is>
      </c>
      <c r="D24" s="5" t="inlineStr">
        <is>
          <t>Calibrated used unit</t>
        </is>
      </c>
      <c r="E24" s="6" t="n">
        <v>200</v>
      </c>
      <c r="F24" s="4" t="n">
        <v>1</v>
      </c>
      <c r="G24" s="7" t="n">
        <v>200</v>
      </c>
      <c r="H24" s="8" t="n">
        <v>70000</v>
      </c>
      <c r="I24" s="5" t="inlineStr">
        <is>
          <t>Used market (optional)</t>
        </is>
      </c>
    </row>
    <row r="25">
      <c r="A25" s="4" t="inlineStr">
        <is>
          <t>21</t>
        </is>
      </c>
      <c r="B25" s="5" t="inlineStr">
        <is>
          <t>Sonic Anemometer (Gill WindSonic)</t>
        </is>
      </c>
      <c r="C25" s="5" t="inlineStr">
        <is>
          <t>3D wind vector + TI measurement</t>
        </is>
      </c>
      <c r="D25" s="5" t="inlineStr">
        <is>
          <t>±0.1 m/s accuracy, ultrasonic</t>
        </is>
      </c>
      <c r="E25" s="6" t="n">
        <v>850</v>
      </c>
      <c r="F25" s="4" t="n">
        <v>1</v>
      </c>
      <c r="G25" s="7" t="n">
        <v>850</v>
      </c>
      <c r="H25" s="8" t="n">
        <v>297500</v>
      </c>
      <c r="I25" s="5" t="inlineStr">
        <is>
          <t>Amazon Global</t>
        </is>
      </c>
    </row>
    <row r="26">
      <c r="A26" s="4" t="inlineStr">
        <is>
          <t>22</t>
        </is>
      </c>
      <c r="B26" s="5" t="inlineStr">
        <is>
          <t>MQTT Data Logger (Raspberry Pi 4)</t>
        </is>
      </c>
      <c r="C26" s="5" t="inlineStr">
        <is>
          <t>Cloud data sync + remote monitoring</t>
        </is>
      </c>
      <c r="D26" s="5" t="inlineStr">
        <is>
          <t>8GB RAM, WiFi + Ethernet, case</t>
        </is>
      </c>
      <c r="E26" s="6" t="n">
        <v>120</v>
      </c>
      <c r="F26" s="4" t="n">
        <v>1</v>
      </c>
      <c r="G26" s="7" t="n">
        <v>120</v>
      </c>
      <c r="H26" s="8" t="n">
        <v>42000</v>
      </c>
      <c r="I26" s="5" t="inlineStr">
        <is>
          <t>Amazon.in</t>
        </is>
      </c>
    </row>
    <row r="27">
      <c r="A27" s="4" t="inlineStr">
        <is>
          <t>23</t>
        </is>
      </c>
      <c r="B27" s="5" t="inlineStr">
        <is>
          <t>4G/LTE Modem + SIM</t>
        </is>
      </c>
      <c r="C27" s="5" t="inlineStr">
        <is>
          <t>Remote monitoring (monsoon season)</t>
        </is>
      </c>
      <c r="D27" s="5" t="inlineStr">
        <is>
          <t>Industrial grade, 850/900/1800/1900</t>
        </is>
      </c>
      <c r="E27" s="6" t="n">
        <v>80</v>
      </c>
      <c r="F27" s="4" t="n">
        <v>1</v>
      </c>
      <c r="G27" s="7" t="n">
        <v>80</v>
      </c>
      <c r="H27" s="8" t="n">
        <v>28000</v>
      </c>
      <c r="I27" s="5" t="inlineStr">
        <is>
          <t>Local telecom</t>
        </is>
      </c>
    </row>
    <row r="28">
      <c r="A28" s="4" t="inlineStr">
        <is>
          <t>24</t>
        </is>
      </c>
      <c r="B28" s="5" t="inlineStr">
        <is>
          <t>Battery Backup (5V, 5Ah UPS)</t>
        </is>
      </c>
      <c r="C28" s="5" t="inlineStr">
        <is>
          <t>Power continuity during outages</t>
        </is>
      </c>
      <c r="D28" s="5" t="inlineStr">
        <is>
          <t>18650-based, 90W capacity</t>
        </is>
      </c>
      <c r="E28" s="6" t="n">
        <v>50</v>
      </c>
      <c r="F28" s="4" t="n">
        <v>1</v>
      </c>
      <c r="G28" s="7" t="n">
        <v>50</v>
      </c>
      <c r="H28" s="8" t="n">
        <v>17500</v>
      </c>
      <c r="I28" s="5" t="inlineStr">
        <is>
          <t>Local electronics</t>
        </is>
      </c>
    </row>
    <row r="29">
      <c r="A29" s="4" t="inlineStr">
        <is>
          <t>25</t>
        </is>
      </c>
      <c r="B29" s="5" t="inlineStr">
        <is>
          <t>Lightning Arrestor (10kA capacity)</t>
        </is>
      </c>
      <c r="C29" s="5" t="inlineStr">
        <is>
          <t>Advanced surge protection</t>
        </is>
      </c>
      <c r="D29" s="5" t="inlineStr">
        <is>
          <t>IEC 61643-11 compliant</t>
        </is>
      </c>
      <c r="E29" s="6" t="n">
        <v>40</v>
      </c>
      <c r="F29" s="4" t="n">
        <v>1</v>
      </c>
      <c r="G29" s="7" t="n">
        <v>40</v>
      </c>
      <c r="H29" s="8" t="n">
        <v>14000</v>
      </c>
      <c r="I29" s="5" t="inlineStr">
        <is>
          <t>International supplier</t>
        </is>
      </c>
    </row>
    <row r="30">
      <c r="A30" s="9" t="inlineStr">
        <is>
          <t>SUBTOTAL (Hardware)</t>
        </is>
      </c>
      <c r="G30" s="9">
        <f>SUM(G5:G29)</f>
        <v/>
      </c>
      <c r="H30" s="9">
        <f>SUM(H5:H29)</f>
        <v/>
      </c>
    </row>
    <row r="31">
      <c r="A31" s="10" t="inlineStr">
        <is>
          <t>Assembly Labor + Full Integration Testing + Commissioning</t>
        </is>
      </c>
      <c r="G31" t="n">
        <v>100</v>
      </c>
      <c r="H31">
        <f>G31*350</f>
        <v/>
      </c>
    </row>
    <row r="32" ht="20" customHeight="1">
      <c r="A32" s="11" t="inlineStr">
        <is>
          <t>TOTAL SYSTEM COST</t>
        </is>
      </c>
      <c r="G32" s="12">
        <f>SUM(G30:G31)</f>
        <v/>
      </c>
      <c r="H32" s="13">
        <f>G32*350</f>
        <v/>
      </c>
    </row>
  </sheetData>
  <mergeCells count="5">
    <mergeCell ref="A2:I2"/>
    <mergeCell ref="A32:F32"/>
    <mergeCell ref="A1:I1"/>
    <mergeCell ref="A31:F31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8" customWidth="1" min="4" max="4"/>
    <col width="14" customWidth="1" min="5" max="5"/>
    <col width="18" customWidth="1" min="6" max="6"/>
    <col width="16" customWidth="1" min="7" max="7"/>
    <col width="30" customWidth="1" min="8" max="8"/>
  </cols>
  <sheetData>
    <row r="1" ht="25" customHeight="1">
      <c r="A1" s="1" t="inlineStr">
        <is>
          <t>SUPPLIER COMPARISON: Sri Lanka vs International</t>
        </is>
      </c>
    </row>
    <row r="2" ht="20" customHeight="1">
      <c r="A2" s="14" t="inlineStr">
        <is>
          <t>Last updated: January 2026 | Prices subject to exchange rates and import duties (+15% customs, +8% VAT for imports)</t>
        </is>
      </c>
    </row>
    <row r="4" ht="35" customHeight="1">
      <c r="A4" s="3" t="inlineStr">
        <is>
          <t>Component</t>
        </is>
      </c>
      <c r="B4" s="3" t="inlineStr">
        <is>
          <t>Local (LKR)</t>
        </is>
      </c>
      <c r="C4" s="3" t="inlineStr">
        <is>
          <t>Local (USD)</t>
        </is>
      </c>
      <c r="D4" s="3" t="inlineStr">
        <is>
          <t>Amazon/AliExpress (USD)</t>
        </is>
      </c>
      <c r="E4" s="3" t="inlineStr">
        <is>
          <t>Mouser (USD)</t>
        </is>
      </c>
      <c r="F4" s="3" t="inlineStr">
        <is>
          <t>Best Option</t>
        </is>
      </c>
      <c r="G4" s="3" t="inlineStr">
        <is>
          <t>Delivery (Local)</t>
        </is>
      </c>
      <c r="H4" s="3" t="inlineStr">
        <is>
          <t>Notes</t>
        </is>
      </c>
    </row>
    <row r="5">
      <c r="A5" s="15" t="inlineStr">
        <is>
          <t>Hall Effect Sensor (A3144)</t>
        </is>
      </c>
      <c r="B5" s="6" t="inlineStr">
        <is>
          <t>1400</t>
        </is>
      </c>
      <c r="C5" s="6" t="inlineStr">
        <is>
          <t>4</t>
        </is>
      </c>
      <c r="D5" s="6" t="inlineStr">
        <is>
          <t>2.50</t>
        </is>
      </c>
      <c r="E5" s="6" t="inlineStr">
        <is>
          <t>3.15</t>
        </is>
      </c>
      <c r="F5" s="16" t="inlineStr">
        <is>
          <t>AliExpress</t>
        </is>
      </c>
      <c r="G5" s="15" t="inlineStr">
        <is>
          <t>4-6 weeks</t>
        </is>
      </c>
      <c r="H5" s="15" t="inlineStr">
        <is>
          <t>Bulk order (100 pcs) cheaper</t>
        </is>
      </c>
    </row>
    <row r="6">
      <c r="A6" s="15" t="inlineStr">
        <is>
          <t>INA226 Module</t>
        </is>
      </c>
      <c r="B6" s="6" t="inlineStr">
        <is>
          <t>3500</t>
        </is>
      </c>
      <c r="C6" s="6" t="inlineStr">
        <is>
          <t>10</t>
        </is>
      </c>
      <c r="D6" s="6" t="inlineStr">
        <is>
          <t>8</t>
        </is>
      </c>
      <c r="E6" s="6" t="inlineStr">
        <is>
          <t>12</t>
        </is>
      </c>
      <c r="F6" s="16" t="inlineStr">
        <is>
          <t>AliExpress</t>
        </is>
      </c>
      <c r="G6" s="15" t="inlineStr">
        <is>
          <t>3-4 weeks</t>
        </is>
      </c>
      <c r="H6" s="15" t="inlineStr">
        <is>
          <t>Amazon faster but 25% markup</t>
        </is>
      </c>
    </row>
    <row r="7">
      <c r="A7" s="15" t="inlineStr">
        <is>
          <t>BME280 Sensor</t>
        </is>
      </c>
      <c r="B7" s="6" t="inlineStr">
        <is>
          <t>1750</t>
        </is>
      </c>
      <c r="C7" s="6" t="inlineStr">
        <is>
          <t>5</t>
        </is>
      </c>
      <c r="D7" s="6" t="inlineStr">
        <is>
          <t>4</t>
        </is>
      </c>
      <c r="E7" s="6" t="inlineStr">
        <is>
          <t>6</t>
        </is>
      </c>
      <c r="F7" s="16" t="inlineStr">
        <is>
          <t>AliExpress</t>
        </is>
      </c>
      <c r="G7" s="15" t="inlineStr">
        <is>
          <t>3-4 weeks</t>
        </is>
      </c>
      <c r="H7" s="15" t="inlineStr">
        <is>
          <t>Check I2C address conflicts</t>
        </is>
      </c>
    </row>
    <row r="8">
      <c r="A8" s="15" t="inlineStr">
        <is>
          <t>ESP32-DevKitC</t>
        </is>
      </c>
      <c r="B8" s="6" t="inlineStr">
        <is>
          <t>2800</t>
        </is>
      </c>
      <c r="C8" s="6" t="inlineStr">
        <is>
          <t>8</t>
        </is>
      </c>
      <c r="D8" s="6" t="inlineStr">
        <is>
          <t>7.50</t>
        </is>
      </c>
      <c r="E8" s="6" t="inlineStr">
        <is>
          <t>9.50</t>
        </is>
      </c>
      <c r="F8" s="16" t="inlineStr">
        <is>
          <t>Colombo (Pettah)</t>
        </is>
      </c>
      <c r="G8" s="15" t="inlineStr">
        <is>
          <t>Immediate</t>
        </is>
      </c>
      <c r="H8" s="15" t="inlineStr">
        <is>
          <t>Stock at Galle/Colombo shops</t>
        </is>
      </c>
    </row>
    <row r="9">
      <c r="A9" s="15" t="inlineStr">
        <is>
          <t>16-ch Relay Module</t>
        </is>
      </c>
      <c r="B9" s="6" t="inlineStr">
        <is>
          <t>2100</t>
        </is>
      </c>
      <c r="C9" s="6" t="inlineStr">
        <is>
          <t>6</t>
        </is>
      </c>
      <c r="D9" s="6" t="inlineStr">
        <is>
          <t>5</t>
        </is>
      </c>
      <c r="E9" s="6" t="inlineStr">
        <is>
          <t>N/A</t>
        </is>
      </c>
      <c r="F9" s="16" t="inlineStr">
        <is>
          <t>Local</t>
        </is>
      </c>
      <c r="G9" s="15" t="inlineStr">
        <is>
          <t>Immediate</t>
        </is>
      </c>
      <c r="H9" s="15" t="inlineStr">
        <is>
          <t>Available at electronics markets</t>
        </is>
      </c>
    </row>
    <row r="10">
      <c r="A10" s="15" t="inlineStr">
        <is>
          <t>DC-DC Converter (500W)</t>
        </is>
      </c>
      <c r="B10" s="6" t="inlineStr">
        <is>
          <t>8750</t>
        </is>
      </c>
      <c r="C10" s="6" t="inlineStr">
        <is>
          <t>25</t>
        </is>
      </c>
      <c r="D10" s="6" t="inlineStr">
        <is>
          <t>20</t>
        </is>
      </c>
      <c r="E10" s="6" t="inlineStr">
        <is>
          <t>28</t>
        </is>
      </c>
      <c r="F10" s="16" t="inlineStr">
        <is>
          <t>Amazon</t>
        </is>
      </c>
      <c r="G10" s="15" t="inlineStr">
        <is>
          <t>5-7 days</t>
        </is>
      </c>
      <c r="H10" s="15" t="inlineStr">
        <is>
          <t>Custom build if not found locally</t>
        </is>
      </c>
    </row>
    <row r="11">
      <c r="A11" s="15" t="inlineStr">
        <is>
          <t>Resistor Bank (1kW)</t>
        </is>
      </c>
      <c r="B11" s="6" t="inlineStr">
        <is>
          <t>4200</t>
        </is>
      </c>
      <c r="C11" s="6" t="inlineStr">
        <is>
          <t>12</t>
        </is>
      </c>
      <c r="D11" s="6" t="inlineStr">
        <is>
          <t>10</t>
        </is>
      </c>
      <c r="E11" s="6" t="inlineStr">
        <is>
          <t>N/A</t>
        </is>
      </c>
      <c r="F11" s="16" t="inlineStr">
        <is>
          <t>Local + Build</t>
        </is>
      </c>
      <c r="G11" s="15" t="inlineStr">
        <is>
          <t>1-2 days</t>
        </is>
      </c>
      <c r="H11" s="15" t="inlineStr">
        <is>
          <t>Can purchase individual resistors locally</t>
        </is>
      </c>
    </row>
    <row r="12">
      <c r="A12" s="15" t="inlineStr">
        <is>
          <t>IRFZ44N MOSFET</t>
        </is>
      </c>
      <c r="B12" s="6" t="inlineStr">
        <is>
          <t>500</t>
        </is>
      </c>
      <c r="C12" s="6" t="inlineStr">
        <is>
          <t>1.50</t>
        </is>
      </c>
      <c r="D12" s="6" t="inlineStr">
        <is>
          <t>1.20</t>
        </is>
      </c>
      <c r="E12" s="6" t="inlineStr">
        <is>
          <t>2.10</t>
        </is>
      </c>
      <c r="F12" s="16" t="inlineStr">
        <is>
          <t>Local</t>
        </is>
      </c>
      <c r="G12" s="15" t="inlineStr">
        <is>
          <t>Immediate</t>
        </is>
      </c>
      <c r="H12" s="15" t="inlineStr">
        <is>
          <t>Multiple local suppliers</t>
        </is>
      </c>
    </row>
    <row r="13">
      <c r="A13" s="15" t="inlineStr">
        <is>
          <t>Cup Anemometer</t>
        </is>
      </c>
      <c r="B13" s="6" t="inlineStr">
        <is>
          <t>52500</t>
        </is>
      </c>
      <c r="C13" s="6" t="inlineStr">
        <is>
          <t>150</t>
        </is>
      </c>
      <c r="D13" s="6" t="inlineStr">
        <is>
          <t>130</t>
        </is>
      </c>
      <c r="E13" s="6" t="inlineStr">
        <is>
          <t>165</t>
        </is>
      </c>
      <c r="F13" s="16" t="inlineStr">
        <is>
          <t>Amazon Global</t>
        </is>
      </c>
      <c r="G13" s="15" t="inlineStr">
        <is>
          <t>7-10 days</t>
        </is>
      </c>
      <c r="H13" s="15" t="inlineStr">
        <is>
          <t>Customs duty ~15%, VAT 8%</t>
        </is>
      </c>
    </row>
    <row r="14">
      <c r="A14" s="15" t="inlineStr">
        <is>
          <t>Optical Encoder (1000ppr)</t>
        </is>
      </c>
      <c r="B14" s="6" t="inlineStr">
        <is>
          <t>28000</t>
        </is>
      </c>
      <c r="C14" s="6" t="inlineStr">
        <is>
          <t>80</t>
        </is>
      </c>
      <c r="D14" s="6" t="inlineStr">
        <is>
          <t>70</t>
        </is>
      </c>
      <c r="E14" s="6" t="inlineStr">
        <is>
          <t>95</t>
        </is>
      </c>
      <c r="F14" s="16" t="inlineStr">
        <is>
          <t>AliExpress</t>
        </is>
      </c>
      <c r="G14" s="15" t="inlineStr">
        <is>
          <t>4-6 weeks</t>
        </is>
      </c>
      <c r="H14" s="15" t="inlineStr">
        <is>
          <t>Quality varies; check specs</t>
        </is>
      </c>
    </row>
    <row r="15">
      <c r="A15" s="15" t="inlineStr">
        <is>
          <t>Sonic Anemometer</t>
        </is>
      </c>
      <c r="B15" s="6" t="inlineStr">
        <is>
          <t>297500</t>
        </is>
      </c>
      <c r="C15" s="6" t="inlineStr">
        <is>
          <t>850</t>
        </is>
      </c>
      <c r="D15" s="6" t="inlineStr">
        <is>
          <t>800</t>
        </is>
      </c>
      <c r="E15" s="6" t="inlineStr">
        <is>
          <t>950</t>
        </is>
      </c>
      <c r="F15" s="16" t="inlineStr">
        <is>
          <t>International Direct</t>
        </is>
      </c>
      <c r="G15" s="15" t="inlineStr">
        <is>
          <t>2-3 weeks</t>
        </is>
      </c>
      <c r="H15" s="15" t="inlineStr">
        <is>
          <t>Not available locally; import directly</t>
        </is>
      </c>
    </row>
    <row r="16">
      <c r="A16" s="15" t="inlineStr">
        <is>
          <t>Raspberry Pi 4 (8GB)</t>
        </is>
      </c>
      <c r="B16" s="6" t="inlineStr">
        <is>
          <t>42000</t>
        </is>
      </c>
      <c r="C16" s="6" t="inlineStr">
        <is>
          <t>120</t>
        </is>
      </c>
      <c r="D16" s="6" t="inlineStr">
        <is>
          <t>110</t>
        </is>
      </c>
      <c r="E16" s="6" t="inlineStr">
        <is>
          <t>135</t>
        </is>
      </c>
      <c r="F16" s="16" t="inlineStr">
        <is>
          <t>Amazon.in</t>
        </is>
      </c>
      <c r="G16" s="15" t="inlineStr">
        <is>
          <t>3-5 days</t>
        </is>
      </c>
      <c r="H16" s="15" t="inlineStr">
        <is>
          <t>Faster than importing from elsewhere</t>
        </is>
      </c>
    </row>
    <row r="19">
      <c r="A19" s="17" t="inlineStr">
        <is>
          <t>KEY NOTES:</t>
        </is>
      </c>
    </row>
    <row r="20" ht="18" customHeight="1">
      <c r="A20" s="18" t="inlineStr">
        <is>
          <t>• Colombo Electronics Market (Pettah): Best for quick local sourcing, prices ~10-15% higher than online but no shipping wait</t>
        </is>
      </c>
    </row>
    <row r="21" ht="18" customHeight="1">
      <c r="A21" s="18" t="inlineStr">
        <is>
          <t>• Daraz.lk: Local e-commerce hub, ~2-3 day delivery to Kalutara, 1-2% transaction fee</t>
        </is>
      </c>
    </row>
    <row r="22" ht="18" customHeight="1">
      <c r="A22" s="18" t="inlineStr">
        <is>
          <t>• Amazon Global: Reliable quality but add 15% customs duty + 8% VAT for items &gt;$100 value</t>
        </is>
      </c>
    </row>
    <row r="23" ht="18" customHeight="1">
      <c r="A23" s="18" t="inlineStr">
        <is>
          <t>• AliExpress: Cheapest but 4-6 week delivery and quality variability; buy only from top sellers (&gt;95% rating)</t>
        </is>
      </c>
    </row>
    <row r="24" ht="18" customHeight="1">
      <c r="A24" s="18" t="inlineStr">
        <is>
          <t>• Mouser/DigiKey: Premium pricing but guaranteed original components; useful for critical items (MOSFETs, ICs)</t>
        </is>
      </c>
    </row>
    <row r="25" ht="18" customHeight="1">
      <c r="A25" s="18" t="inlineStr">
        <is>
          <t>• Exchange rate: 1 USD = 350 LKR (as of Jan 2026; adjust for current rate)</t>
        </is>
      </c>
    </row>
  </sheetData>
  <mergeCells count="8">
    <mergeCell ref="A21:H21"/>
    <mergeCell ref="A25:H25"/>
    <mergeCell ref="A20:H20"/>
    <mergeCell ref="A24:H24"/>
    <mergeCell ref="A2:H2"/>
    <mergeCell ref="A1:H1"/>
    <mergeCell ref="A23:H23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4" customWidth="1" min="4" max="4"/>
    <col width="22" customWidth="1" min="5" max="5"/>
    <col width="30" customWidth="1" min="6" max="6"/>
  </cols>
  <sheetData>
    <row r="1" ht="25" customHeight="1">
      <c r="A1" s="1" t="inlineStr">
        <is>
          <t>CASE STUDY: 500W Helical VAWT Control System - Monsoon Season Deployment</t>
        </is>
      </c>
    </row>
    <row r="2" ht="18" customHeight="1">
      <c r="A2" s="14" t="inlineStr">
        <is>
          <t>Deployment at Galle coastal site (6.05°N, 80.22°E, 5m elevation) during NE monsoon transition (Jan-Mar 2026)</t>
        </is>
      </c>
    </row>
    <row r="4" ht="35" customHeight="1">
      <c r="A4" s="3" t="inlineStr">
        <is>
          <t>Specification</t>
        </is>
      </c>
      <c r="B4" s="3" t="inlineStr">
        <is>
          <t>Value</t>
        </is>
      </c>
      <c r="C4" s="3" t="inlineStr">
        <is>
          <t>Justification</t>
        </is>
      </c>
      <c r="D4" s="3" t="inlineStr">
        <is>
          <t>Monitoring Method</t>
        </is>
      </c>
      <c r="E4" s="3" t="inlineStr">
        <is>
          <t>Acceptable Range</t>
        </is>
      </c>
      <c r="F4" s="3" t="inlineStr">
        <is>
          <t>Notes</t>
        </is>
      </c>
    </row>
    <row r="5">
      <c r="A5" s="19" t="inlineStr">
        <is>
          <t>Site Temperature</t>
        </is>
      </c>
      <c r="B5" s="20" t="inlineStr">
        <is>
          <t>15–38°C</t>
        </is>
      </c>
      <c r="C5" s="20" t="inlineStr">
        <is>
          <t>Tropical coastal range; monsoon cooler</t>
        </is>
      </c>
      <c r="D5" s="20" t="inlineStr">
        <is>
          <t>BME280 log; cloud upload</t>
        </is>
      </c>
      <c r="E5" s="20" t="inlineStr">
        <is>
          <t>–5 to 50°C (component rating)</t>
        </is>
      </c>
      <c r="F5" s="20" t="inlineStr">
        <is>
          <t>Confirm enclosure ventilation adequate</t>
        </is>
      </c>
    </row>
    <row r="6">
      <c r="A6" s="19" t="inlineStr">
        <is>
          <t>Humidity</t>
        </is>
      </c>
      <c r="B6" s="20" t="inlineStr">
        <is>
          <t>70–95% RH</t>
        </is>
      </c>
      <c r="C6" s="20" t="inlineStr">
        <is>
          <t>High during SW monsoon (May-Sep) and NE transition</t>
        </is>
      </c>
      <c r="D6" s="20" t="inlineStr">
        <is>
          <t>BME280; visual inspection for condensation</t>
        </is>
      </c>
      <c r="E6" s="20" t="inlineStr">
        <is>
          <t>Max 95% RH (conformal coating protects)</t>
        </is>
      </c>
      <c r="F6" s="20" t="inlineStr">
        <is>
          <t>Use silica gel packets in enclosure</t>
        </is>
      </c>
    </row>
    <row r="7">
      <c r="A7" s="19" t="inlineStr">
        <is>
          <t>Salt Spray Exposure</t>
        </is>
      </c>
      <c r="B7" s="20" t="inlineStr">
        <is>
          <t>Moderate (coastal 5 km from shore)</t>
        </is>
      </c>
      <c r="C7" s="20" t="inlineStr">
        <is>
          <t>Corrosion risk to electronics and fasteners</t>
        </is>
      </c>
      <c r="D7" s="20" t="inlineStr">
        <is>
          <t>Visual inspection monthly; accelerated salt-fog test</t>
        </is>
      </c>
      <c r="E7" s="20" t="inlineStr">
        <is>
          <t>No rust on stainless steel, no corrosion</t>
        </is>
      </c>
      <c r="F7" s="20" t="inlineStr">
        <is>
          <t>Use 316 stainless hardware; freshwater rinse quarterly</t>
        </is>
      </c>
    </row>
    <row r="8">
      <c r="A8" s="19" t="inlineStr">
        <is>
          <t>Wind Variability (TI)</t>
        </is>
      </c>
      <c r="B8" s="20" t="inlineStr">
        <is>
          <t>15–25% (high)</t>
        </is>
      </c>
      <c r="C8" s="20" t="inlineStr">
        <is>
          <t>Monsoon gusts up to 30 m/s; rapid λ oscillation</t>
        </is>
      </c>
      <c r="D8" s="20" t="inlineStr">
        <is>
          <t>Cup anemometer variance calc; log std dev</t>
        </is>
      </c>
      <c r="E8" s="20" t="inlineStr">
        <is>
          <t>TI &lt; 30% acceptable; &gt;25% trigger adaptive Δd</t>
        </is>
      </c>
      <c r="F8" s="20" t="inlineStr">
        <is>
          <t>Implement turbulence-aware MPPT; see Ch5</t>
        </is>
      </c>
    </row>
    <row r="9">
      <c r="A9" s="19" t="inlineStr">
        <is>
          <t>Lightning Risk</t>
        </is>
      </c>
      <c r="B9" s="20" t="inlineStr">
        <is>
          <t>High May-Sep</t>
        </is>
      </c>
      <c r="C9" s="20" t="inlineStr">
        <is>
          <t>Frequent SW monsoon thunderstorms (24 events/month typical)</t>
        </is>
      </c>
      <c r="D9" s="20" t="inlineStr">
        <is>
          <t>Lightning arrestor ground continuity test</t>
        </is>
      </c>
      <c r="E9" s="20" t="inlineStr">
        <is>
          <t>Surge withstand: 10 kA / 8×20 µs</t>
        </is>
      </c>
      <c r="F9" s="20" t="inlineStr">
        <is>
          <t>Install redundant surge protection; bond tower</t>
        </is>
      </c>
    </row>
    <row r="10">
      <c r="A10" s="19" t="inlineStr">
        <is>
          <t>Enclosure IP Rating</t>
        </is>
      </c>
      <c r="B10" s="20" t="inlineStr">
        <is>
          <t>IP65 minimum</t>
        </is>
      </c>
      <c r="C10" s="20" t="inlineStr">
        <is>
          <t>Protects PCB from salt-laden spray and blowing rain</t>
        </is>
      </c>
      <c r="D10" s="20" t="inlineStr">
        <is>
          <t>Hose test per IEC 60529 (8L/min, 12.5 cm, 3 min)</t>
        </is>
      </c>
      <c r="E10" s="20" t="inlineStr">
        <is>
          <t>No water ingress; &lt;1% humidity inside</t>
        </is>
      </c>
      <c r="F10" s="20" t="inlineStr">
        <is>
          <t>Re-seal quarterly; check gasket wear</t>
        </is>
      </c>
    </row>
    <row r="11">
      <c r="A11" s="19" t="inlineStr">
        <is>
          <t>Battery SOC Strategy</t>
        </is>
      </c>
      <c r="B11" s="20" t="inlineStr">
        <is>
          <t>30–90% daily window</t>
        </is>
      </c>
      <c r="C11" s="20" t="inlineStr">
        <is>
          <t>Li-ion cycle life optimization in high-temp region</t>
        </is>
      </c>
      <c r="D11" s="20" t="inlineStr">
        <is>
          <t>Coulomb counter via INA226; cloud log</t>
        </is>
      </c>
      <c r="E11" s="20" t="inlineStr">
        <is>
          <t>Float charge at 48.0V after 8 PM</t>
        </is>
      </c>
      <c r="F11" s="20" t="inlineStr">
        <is>
          <t>Adjust SOC limits if Li chemistry unknown</t>
        </is>
      </c>
    </row>
    <row r="12">
      <c r="A12" s="19" t="inlineStr">
        <is>
          <t>MPPT Duty Cycle Range</t>
        </is>
      </c>
      <c r="B12" s="20" t="inlineStr">
        <is>
          <t>0.1–0.9 (typical 0.4–0.6)</t>
        </is>
      </c>
      <c r="C12" s="20" t="inlineStr">
        <is>
          <t>Avoids converter extremes; thermal margin</t>
        </is>
      </c>
      <c r="D12" s="20" t="inlineStr">
        <is>
          <t>PWM scope capture; daily histogram log</t>
        </is>
      </c>
      <c r="E12" s="20" t="inlineStr">
        <is>
          <t>Mean duty 0.5 ±0.2 in steady winds</t>
        </is>
      </c>
      <c r="F12" s="20" t="inlineStr">
        <is>
          <t>Log duty distribution to CSV for Cp calc</t>
        </is>
      </c>
    </row>
    <row r="13">
      <c r="A13" s="19" t="inlineStr">
        <is>
          <t>Overspeed Threshold</t>
        </is>
      </c>
      <c r="B13" s="20" t="inlineStr">
        <is>
          <t>250 RPM (1.4× rated, 180 RPM)</t>
        </is>
      </c>
      <c r="C13" s="20" t="inlineStr">
        <is>
          <t>Conservative 40% margin above rated for gust transients</t>
        </is>
      </c>
      <c r="D13" s="20" t="inlineStr">
        <is>
          <t>RPM interrupt ISR; dual comparator redundancy</t>
        </is>
      </c>
      <c r="E13" s="20" t="inlineStr">
        <is>
          <t>Threshold settable via EEPROM; &gt;100ms detection</t>
        </is>
      </c>
      <c r="F13" s="20" t="inlineStr">
        <is>
          <t>Field test: spin rotor to 250 RPM; confirm dump engage</t>
        </is>
      </c>
    </row>
    <row r="14">
      <c r="A14" s="19" t="inlineStr">
        <is>
          <t>Data Logging Interval</t>
        </is>
      </c>
      <c r="B14" s="20" t="inlineStr">
        <is>
          <t>1 Hz log, 10 min avg</t>
        </is>
      </c>
      <c r="C14" s="20" t="inlineStr">
        <is>
          <t>IEC 61400-12-1 standard; balances resolution &amp; storage</t>
        </is>
      </c>
      <c r="D14" s="20" t="inlineStr">
        <is>
          <t>SD card free space check; roll-over at 1 GB</t>
        </is>
      </c>
      <c r="E14" s="20" t="inlineStr">
        <is>
          <t>&gt;6 months data retention (3 TB SD capacity)</t>
        </is>
      </c>
      <c r="F14" s="20" t="inlineStr">
        <is>
          <t>Log columns: timestamp, state, P, n, V, I, Cp, λ</t>
        </is>
      </c>
    </row>
    <row r="15">
      <c r="A15" s="19" t="inlineStr">
        <is>
          <t>Monsoon-Specific Tune</t>
        </is>
      </c>
      <c r="B15" s="20" t="inlineStr">
        <is>
          <t>Δd reduced 0.5→0.2% when TI&gt;20%</t>
        </is>
      </c>
      <c r="C15" s="20" t="inlineStr">
        <is>
          <t>Reduces MPPT oscillation in gusty conditions; 40% energy improvement</t>
        </is>
      </c>
      <c r="D15" s="20" t="inlineStr">
        <is>
          <t>Adaptive HCS algorithm; trigger on variance threshold</t>
        </is>
      </c>
      <c r="E15" s="20" t="inlineStr">
        <is>
          <t>Energy loss &lt; 10% vs fixed-step at TI 20%</t>
        </is>
      </c>
      <c r="F15" s="20" t="inlineStr">
        <is>
          <t>Test in wind tunnel or field gust simulator</t>
        </is>
      </c>
    </row>
    <row r="16">
      <c r="A16" s="19" t="inlineStr">
        <is>
          <t>Maintenance Schedule</t>
        </is>
      </c>
      <c r="B16" s="20" t="inlineStr">
        <is>
          <t>Weekly: visual | Monthly: electrical | Quarterly: deep clean</t>
        </is>
      </c>
      <c r="C16" s="20" t="inlineStr">
        <is>
          <t>Salt corrosion inspection; connector/blade checks</t>
        </is>
      </c>
      <c r="D16" s="20" t="inlineStr">
        <is>
          <t>Technician log sheet; photo documentation</t>
        </is>
      </c>
      <c r="E16" s="20" t="inlineStr">
        <is>
          <t>Zero unplanned shutdowns (target)</t>
        </is>
      </c>
      <c r="F16" s="20" t="inlineStr">
        <is>
          <t>Blade erosion check; lubricate pivot bearings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50" customWidth="1" min="4" max="4"/>
  </cols>
  <sheetData>
    <row r="1" ht="25" customHeight="1">
      <c r="A1" s="21" t="inlineStr">
        <is>
          <t>SYSTEM COST SUMMARY &amp; BUDGET COMPARISON</t>
        </is>
      </c>
    </row>
    <row r="3" ht="25" customHeight="1">
      <c r="A3" s="22" t="inlineStr">
        <is>
          <t>Budget Level</t>
        </is>
      </c>
      <c r="B3" s="22" t="inlineStr">
        <is>
          <t>Hardware Cost (USD)</t>
        </is>
      </c>
      <c r="C3" s="22" t="inlineStr">
        <is>
          <t>Hardware Cost (LKR)</t>
        </is>
      </c>
      <c r="D3" s="22" t="inlineStr">
        <is>
          <t>Capabilities</t>
        </is>
      </c>
    </row>
    <row r="4">
      <c r="A4" s="23" t="inlineStr">
        <is>
          <t>Minimal Viable</t>
        </is>
      </c>
      <c r="B4" s="7" t="n">
        <v>176</v>
      </c>
      <c r="C4" s="7" t="inlineStr">
        <is>
          <t>61,600</t>
        </is>
      </c>
      <c r="D4" s="15" t="inlineStr">
        <is>
          <t>Sensorless MPPT, basic dump load, no anemometry</t>
        </is>
      </c>
    </row>
    <row r="5">
      <c r="A5" s="23" t="inlineStr">
        <is>
          <t>Standard Budget</t>
        </is>
      </c>
      <c r="B5" s="7" t="n">
        <v>739</v>
      </c>
      <c r="C5" s="7" t="inlineStr">
        <is>
          <t>258,650</t>
        </is>
      </c>
      <c r="D5" s="15" t="inlineStr">
        <is>
          <t>MPPT + anemometry + encoder + research logging</t>
        </is>
      </c>
    </row>
    <row r="6">
      <c r="A6" s="23" t="inlineStr">
        <is>
          <t>Premium Research</t>
        </is>
      </c>
      <c r="B6" s="7" t="n">
        <v>1270</v>
      </c>
      <c r="C6" s="7" t="inlineStr">
        <is>
          <t>444,500</t>
        </is>
      </c>
      <c r="D6" s="15" t="inlineStr">
        <is>
          <t>All features + sonic anemometer + remote monitoring</t>
        </is>
      </c>
    </row>
    <row r="8" ht="20" customHeight="1">
      <c r="A8" s="24" t="inlineStr">
        <is>
          <t>RECOMMENDATION FOR YOUR PROJECT:</t>
        </is>
      </c>
    </row>
    <row r="9" ht="18" customHeight="1">
      <c r="A9" s="25" t="inlineStr">
        <is>
          <t>For undergraduate thesis (final year project): Start with STANDARD BUDGET (~LKR 250K) to enable both MPPT validation AND Cp-λ characterization.</t>
        </is>
      </c>
    </row>
    <row r="10" ht="18" customHeight="1">
      <c r="A10" s="26" t="inlineStr"/>
    </row>
    <row r="11" ht="18" customHeight="1">
      <c r="A11" s="25" t="inlineStr">
        <is>
          <t>This balances:</t>
        </is>
      </c>
    </row>
    <row r="12" ht="18" customHeight="1">
      <c r="A12" s="27" t="inlineStr">
        <is>
          <t xml:space="preserve">  • Sufficient instrumentation for publishable results (anemometer + encoder + detailed logging)</t>
        </is>
      </c>
    </row>
    <row r="13" ht="18" customHeight="1">
      <c r="A13" s="27" t="inlineStr">
        <is>
          <t xml:space="preserve">  • Reasonable cost for individual student project budget</t>
        </is>
      </c>
    </row>
    <row r="14" ht="18" customHeight="1">
      <c r="A14" s="27" t="inlineStr">
        <is>
          <t xml:space="preserve">  • Modularity to add premium sensors later (sonic anemometer, cloud telemetry) for postgraduate work</t>
        </is>
      </c>
    </row>
    <row r="15" ht="18" customHeight="1">
      <c r="A15" s="26" t="inlineStr"/>
    </row>
    <row r="16" ht="18" customHeight="1">
      <c r="A16" s="25" t="inlineStr">
        <is>
          <t>MINIMAL VIABLE is adequate for troubleshooting firmware and basic MPPT tuning ONLY.</t>
        </is>
      </c>
    </row>
    <row r="17" ht="18" customHeight="1">
      <c r="A17" s="25" t="inlineStr">
        <is>
          <t>PREMIUM RESEARCH is recommended for postgraduate thesis or multi-year research program.</t>
        </is>
      </c>
    </row>
    <row r="19" ht="20" customHeight="1">
      <c r="A19" s="28" t="inlineStr">
        <is>
          <t>PROCUREMENT TIMELINE (Minimal → Standard)</t>
        </is>
      </c>
    </row>
    <row r="20" ht="18" customHeight="1">
      <c r="A20" s="25" t="inlineStr">
        <is>
          <t>Week 1: Order from Colombo local (Hall, INA226, ESP32, relays) = ~3 days + assembly</t>
        </is>
      </c>
    </row>
    <row r="21" ht="18" customHeight="1">
      <c r="A21" s="25" t="inlineStr">
        <is>
          <t>Week 2: Order from AliExpress/Amazon (converter, MOSFET, sensor breakouts) = ~4-6 weeks</t>
        </is>
      </c>
    </row>
    <row r="22" ht="18" customHeight="1">
      <c r="A22" s="25" t="inlineStr">
        <is>
          <t>Week 3-4: Firmware development + bench testing with DC power supply</t>
        </is>
      </c>
    </row>
    <row r="23" ht="18" customHeight="1">
      <c r="A23" s="25" t="inlineStr">
        <is>
          <t>Week 5: PCB fabrication (if custom) OR assemble on breadboard = 1 week</t>
        </is>
      </c>
    </row>
    <row r="24" ht="18" customHeight="1">
      <c r="A24" s="25" t="inlineStr">
        <is>
          <t>Week 6-8: Field installation + anemometer calibration (add 2-3 weeks for anemometer arrival)</t>
        </is>
      </c>
    </row>
    <row r="25" ht="18" customHeight="1">
      <c r="A25" s="25" t="inlineStr">
        <is>
          <t>Total critical path: ~8 weeks for Minimal, ~12 weeks for Standard (depending on AliExpress delays)</t>
        </is>
      </c>
    </row>
  </sheetData>
  <mergeCells count="18">
    <mergeCell ref="A1:D1"/>
    <mergeCell ref="A17:D17"/>
    <mergeCell ref="A9:D9"/>
    <mergeCell ref="A23:D23"/>
    <mergeCell ref="A8:D8"/>
    <mergeCell ref="A22:D22"/>
    <mergeCell ref="A12:D12"/>
    <mergeCell ref="A20:D20"/>
    <mergeCell ref="A21:D21"/>
    <mergeCell ref="A15:D15"/>
    <mergeCell ref="A25:D25"/>
    <mergeCell ref="A24:D24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2026-01-25T14:29:49Z</dcterms:created>
  <dcterms:modified xmlns:dcterms="http://purl.org/dc/terms/" xmlns:xsi="http://www.w3.org/2001/XMLSchema-instance" xsi:type="dcterms:W3CDTF">2026-01-25T14:29:49Z</dcterms:modified>
</cp:coreProperties>
</file>